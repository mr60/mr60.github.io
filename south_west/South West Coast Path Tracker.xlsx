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.rodriguez3/Downloads/"/>
    </mc:Choice>
  </mc:AlternateContent>
  <xr:revisionPtr revIDLastSave="0" documentId="13_ncr:1_{A3D40BD8-9CD4-F740-B0ED-ADACBDA38011}" xr6:coauthVersionLast="47" xr6:coauthVersionMax="47" xr10:uidLastSave="{00000000-0000-0000-0000-000000000000}"/>
  <bookViews>
    <workbookView xWindow="0" yWindow="740" windowWidth="30240" windowHeight="18900" tabRatio="500" activeTab="2" xr2:uid="{00000000-000D-0000-FFFF-FFFF00000000}"/>
  </bookViews>
  <sheets>
    <sheet name="Instructions" sheetId="1" r:id="rId1"/>
    <sheet name="OfficialStages" sheetId="2" r:id="rId2"/>
    <sheet name="MyDays" sheetId="3" r:id="rId3"/>
    <sheet name="Summary" sheetId="4" r:id="rId4"/>
    <sheet name="SuggestedDay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4" l="1"/>
  <c r="B11" i="4"/>
  <c r="B10" i="4"/>
  <c r="B9" i="4"/>
  <c r="B6" i="4"/>
  <c r="B7" i="4" s="1"/>
</calcChain>
</file>

<file path=xl/sharedStrings.xml><?xml version="1.0" encoding="utf-8"?>
<sst xmlns="http://schemas.openxmlformats.org/spreadsheetml/2006/main" count="505" uniqueCount="186">
  <si>
    <t>South West Coast Path — Progress Tracker</t>
  </si>
  <si>
    <t>HOW THIS WORKBOOK WORKS</t>
  </si>
  <si>
    <t>Enter one row per day you actually walked on the 'MyDays' sheet — regardless of how the guidebook or official stage list breaks things up. If you split an official stage into two days, that's just two rows here.</t>
  </si>
  <si>
    <t>KEY COLUMNS</t>
  </si>
  <si>
    <t>sequence: the order of this day ALONG THE TRAIL (Minehead=low numbers, South Haven Point/Poole=high numbers), not the order you walked it in. This is what makes the map draw a sensible line even if you did stages out of order or came back to fill gaps. Use decimals (4, 4.5, 5) if you need to slot a day in between two existing ones later.</t>
  </si>
  <si>
    <t>guidebook_stage_ref: free text just for your own reference, e.g. 'Stage 4' or 'Stage 4a (part 1 of 2)'. Not used by the map — purely a note.</t>
  </si>
  <si>
    <t>with_partner: Yes / No — drives the colour-coding on the map.</t>
  </si>
  <si>
    <t>status: Completed / Planned — lets you pre-load future stages without them counting towards your progress total.</t>
  </si>
  <si>
    <t>start_lat / start_lon / end_lat / end_lon: leave blank and run geocode_places.py, which fills these in automatically from your place names. Fill in by hand only if the automatic lookup gets a place wrong.</t>
  </si>
  <si>
    <t>photos: optional — comma-separated filenames (e.g. 'IMG_2201.jpg, IMG_2202.jpg'). Leave blank if you don't want to use this yet.</t>
  </si>
  <si>
    <t>WORKFLOW</t>
  </si>
  <si>
    <t>1. Fill in MyDays: date, start_place, end_place, distance_km, with_partner, status, notes.</t>
  </si>
  <si>
    <t>2. Run:  python geocode_places.py 'South West Coast Path Tracker.xlsx'</t>
  </si>
  <si>
    <t xml:space="preserve">   This fills in the four coordinate columns automatically (needs internet, takes a few seconds per new place).</t>
  </si>
  <si>
    <t>3. Run:  python build_map.py 'South West Coast Path Tracker.xlsx'</t>
  </si>
  <si>
    <t xml:space="preserve">   This produces swcp_map.html — open it in a browser, or embed it in a webpage with an &lt;iframe&gt;.</t>
  </si>
  <si>
    <t>The 'Summary' sheet updates automatically from whatever you enter in MyDays — you don't need to touch it.</t>
  </si>
  <si>
    <t>Official stage breakdown from 'Walking the South West Coast Path' (Cicerone, 3rd edition 2021, Paddy Dillon), Route Summary Table. Distance/ascent/time are the book's published figures. Coordinates are derived from your own GPX track, scaled to match the book's stated cumulative mileage — except stages 41/43/44 near Ferrybridge/Portland, whose GPX-derived coordinates were thrown off by the Isle of Portland loop and have been corrected using verified Wikipedia coordinates instead (see coord_source column). This is a REFERENCE list of the book's official stages — log the days you actually walked (including any splits) on the MyDays sheet.</t>
  </si>
  <si>
    <t>stage</t>
  </si>
  <si>
    <t>start_place</t>
  </si>
  <si>
    <t>end_place</t>
  </si>
  <si>
    <t>distance_km</t>
  </si>
  <si>
    <t>ascent_m</t>
  </si>
  <si>
    <t>time</t>
  </si>
  <si>
    <t>start_lat</t>
  </si>
  <si>
    <t>start_lon</t>
  </si>
  <si>
    <t>end_lat</t>
  </si>
  <si>
    <t>end_lon</t>
  </si>
  <si>
    <t>notes</t>
  </si>
  <si>
    <t>Minehead</t>
  </si>
  <si>
    <t>Porlock Weir</t>
  </si>
  <si>
    <t>5:00</t>
  </si>
  <si>
    <t>GPX (scaled to book mileage)</t>
  </si>
  <si>
    <t>Lynmouth</t>
  </si>
  <si>
    <t>6:00</t>
  </si>
  <si>
    <t>Combe Martin</t>
  </si>
  <si>
    <t>6:30</t>
  </si>
  <si>
    <t>Woolacombe</t>
  </si>
  <si>
    <t>Braunton</t>
  </si>
  <si>
    <t>Westward Ho!</t>
  </si>
  <si>
    <t>9:00</t>
  </si>
  <si>
    <t>Clovelly</t>
  </si>
  <si>
    <t>Hartland Quay</t>
  </si>
  <si>
    <t>Bude</t>
  </si>
  <si>
    <t>8:00</t>
  </si>
  <si>
    <t>Boscastle</t>
  </si>
  <si>
    <t>8:30</t>
  </si>
  <si>
    <t>Port Isaac</t>
  </si>
  <si>
    <t>7:00</t>
  </si>
  <si>
    <t>Padstow</t>
  </si>
  <si>
    <t>5:30</t>
  </si>
  <si>
    <t>Porthcothan</t>
  </si>
  <si>
    <t>Newquay</t>
  </si>
  <si>
    <t>Perranporth</t>
  </si>
  <si>
    <t>Portreath</t>
  </si>
  <si>
    <t>St Ives</t>
  </si>
  <si>
    <t>Pendeen Watch</t>
  </si>
  <si>
    <t>Porthcurno</t>
  </si>
  <si>
    <t>Penzance</t>
  </si>
  <si>
    <t>5:45</t>
  </si>
  <si>
    <t>Porthleven</t>
  </si>
  <si>
    <t>Lizard Point</t>
  </si>
  <si>
    <t>Porthallow</t>
  </si>
  <si>
    <t>Falmouth</t>
  </si>
  <si>
    <t>Portloe</t>
  </si>
  <si>
    <t>Mevagissey</t>
  </si>
  <si>
    <t>Polmear</t>
  </si>
  <si>
    <t>Polperro</t>
  </si>
  <si>
    <t>Portwrinkle</t>
  </si>
  <si>
    <t>Plymouth</t>
  </si>
  <si>
    <t>Wembury Beach</t>
  </si>
  <si>
    <t>Bigbury-on-Sea</t>
  </si>
  <si>
    <t>Salcombe</t>
  </si>
  <si>
    <t>Stoke Fleming</t>
  </si>
  <si>
    <t>Brixham</t>
  </si>
  <si>
    <t>Shaldon</t>
  </si>
  <si>
    <t>10:00</t>
  </si>
  <si>
    <t>Budleigh Salterton</t>
  </si>
  <si>
    <t>Seaton</t>
  </si>
  <si>
    <t>Seatown</t>
  </si>
  <si>
    <t>Abbotsbury</t>
  </si>
  <si>
    <t>Ferrybridge</t>
  </si>
  <si>
    <t>Wikipedia (Ferrybridge/Lulworth Cove loop area corrected)</t>
  </si>
  <si>
    <t>Lulworth Cove</t>
  </si>
  <si>
    <t>Swanage</t>
  </si>
  <si>
    <t>South Haven Point</t>
  </si>
  <si>
    <t>4:00</t>
  </si>
  <si>
    <t>42</t>
  </si>
  <si>
    <t>Ferrybridge (Isle of Portland circuit)</t>
  </si>
  <si>
    <t>loop, returns to start</t>
  </si>
  <si>
    <t>44 (alt)</t>
  </si>
  <si>
    <t>Gaulter Gap</t>
  </si>
  <si>
    <t>alternative route (MOD range days) - end point not located</t>
  </si>
  <si>
    <t>day_id</t>
  </si>
  <si>
    <t>sequence</t>
  </si>
  <si>
    <t>date_walked</t>
  </si>
  <si>
    <t>guidebook_stage_ref</t>
  </si>
  <si>
    <t>with_partner</t>
  </si>
  <si>
    <t>status</t>
  </si>
  <si>
    <t>photos</t>
  </si>
  <si>
    <t>Completed</t>
  </si>
  <si>
    <t>Tough climb up Selworthy Beacon, great views</t>
  </si>
  <si>
    <t>IMG_2201.jpg, IMG_2202.jpg</t>
  </si>
  <si>
    <t>Coastal woodland, saw red deer</t>
  </si>
  <si>
    <t>Walked solo while partner was away</t>
  </si>
  <si>
    <t>Booked for September</t>
  </si>
  <si>
    <t>South West Coast Path — Summary</t>
  </si>
  <si>
    <t>Total trail distance (km)</t>
  </si>
  <si>
    <t>(official SWCP length ≈ 630 miles / 1014 km — edit if you use a different figure)</t>
  </si>
  <si>
    <t>Distance completed (km)</t>
  </si>
  <si>
    <t>% of trail completed</t>
  </si>
  <si>
    <t>Days completed</t>
  </si>
  <si>
    <t>Days with partner</t>
  </si>
  <si>
    <t>Days solo</t>
  </si>
  <si>
    <t>Days planned (not yet walked)</t>
  </si>
  <si>
    <t>Auto-generated from the official GPX track, with place names matched from a filtered GeoNames database (only places within a few km of the real trail). Labels marked '(approx)' had no close match — rename those by hand if needed. Copy/merge rows you want into MyDays, then add date_walked, with_partner, status and notes there — these are suggested even splits, not your actual days.</t>
  </si>
  <si>
    <t>Minehead (~0.7km away, approx)</t>
  </si>
  <si>
    <t>Minehead (~10.5km away, approx)</t>
  </si>
  <si>
    <t>Combe Martin (~18.1km away, approx)</t>
  </si>
  <si>
    <t>Combe Martin (~7.5km away, approx)</t>
  </si>
  <si>
    <t>Ilfracombe (~3.3km away, approx)</t>
  </si>
  <si>
    <t>Ilfracombe (~7.2km away, approx)</t>
  </si>
  <si>
    <t>Braunton (~5.8km away, approx)</t>
  </si>
  <si>
    <t>Braunton (~1.8km away, approx)</t>
  </si>
  <si>
    <t>Fremington (~3.2km away, approx)</t>
  </si>
  <si>
    <t>Appledore (~0.8km away, approx)</t>
  </si>
  <si>
    <t>Bideford (~7.8km away, approx)</t>
  </si>
  <si>
    <t>Northam (~16.5km away, approx)</t>
  </si>
  <si>
    <t>Flexbury (~14.6km away, approx)</t>
  </si>
  <si>
    <t>Flexbury (~4.0km away, approx)</t>
  </si>
  <si>
    <t>Poundstock (~2.4km away, approx)</t>
  </si>
  <si>
    <t>Tintagel (~6.3km away, approx)</t>
  </si>
  <si>
    <t>Tintagel (~2.9km away, approx)</t>
  </si>
  <si>
    <t>Polzeath (~4.0km away, approx)</t>
  </si>
  <si>
    <t>Padstow (~1.1km away, approx)</t>
  </si>
  <si>
    <t>Padstow (~6.6km away, approx)</t>
  </si>
  <si>
    <t>Newquay (~5.1km away, approx)</t>
  </si>
  <si>
    <t>Newquay (~1.6km away, approx)</t>
  </si>
  <si>
    <t>Perranporth (~2.0km away, approx)</t>
  </si>
  <si>
    <t>Saint Agnes (~3.5km away, approx)</t>
  </si>
  <si>
    <t>Camborne (~6.1km away, approx)</t>
  </si>
  <si>
    <t>Hayle (~1.2km away, approx)</t>
  </si>
  <si>
    <t>St Ives (~5.5km away, approx)</t>
  </si>
  <si>
    <t>Saint Just (~3.8km away, approx)</t>
  </si>
  <si>
    <t>Sennen (~1.7km away, approx)</t>
  </si>
  <si>
    <t>St. Buryan (~4.1km away, approx)</t>
  </si>
  <si>
    <t>Marazion (~0.9km away, approx)</t>
  </si>
  <si>
    <t>Porthleven (~2.7km away, approx)</t>
  </si>
  <si>
    <t>Mullion (~1.2km away, approx)</t>
  </si>
  <si>
    <t>Landewednack (~0.9km away, approx)</t>
  </si>
  <si>
    <t>Landewednack (~10.5km away, approx)</t>
  </si>
  <si>
    <t>Falmouth (~7.5km away, approx)</t>
  </si>
  <si>
    <t>Falmouth (~2.2km away, approx)</t>
  </si>
  <si>
    <t>Falmouth (~4.3km away, approx)</t>
  </si>
  <si>
    <t>Portscatho (~5.3km away, approx)</t>
  </si>
  <si>
    <t>Mevagissey (~4.9km away, approx)</t>
  </si>
  <si>
    <t>Mevagissey (~3.9km away, approx)</t>
  </si>
  <si>
    <t>Fowey (~3.1km away, approx)</t>
  </si>
  <si>
    <t>Fowey (~5.7km away, approx)</t>
  </si>
  <si>
    <t>Looe (~2.1km away, approx)</t>
  </si>
  <si>
    <t>Torpoint (~5.2km away, approx)</t>
  </si>
  <si>
    <t>Millbrook (~1.2km away, approx)</t>
  </si>
  <si>
    <t>Plymouth (~1.6km away, approx)</t>
  </si>
  <si>
    <t>Wembury (~2.1km away, approx)</t>
  </si>
  <si>
    <t>Modbury (~6.6km away, approx)</t>
  </si>
  <si>
    <t>Salcombe (~5.7km away, approx)</t>
  </si>
  <si>
    <t>Salcombe (~3.2km away, approx)</t>
  </si>
  <si>
    <t>Salcombe (~8.4km away, approx)</t>
  </si>
  <si>
    <t>Dartmouth (~1.5km away, approx)</t>
  </si>
  <si>
    <t>Brixham (~1.6km away, approx)</t>
  </si>
  <si>
    <t>Paignton (~1.5km away, approx)</t>
  </si>
  <si>
    <t>Torquay (~4.1km away, approx)</t>
  </si>
  <si>
    <t>Dawlish (~2.4km away, approx)</t>
  </si>
  <si>
    <t>Sidmouth (~2.6km away, approx)</t>
  </si>
  <si>
    <t>Colyton (~3.9km away, approx)</t>
  </si>
  <si>
    <t>Lyme Regis (~2.4km away, approx)</t>
  </si>
  <si>
    <t>Bridport (~4.0km away, approx)</t>
  </si>
  <si>
    <t>Chickerell (~5.2km away, approx)</t>
  </si>
  <si>
    <t>Portland (~2.3km away, approx)</t>
  </si>
  <si>
    <t>Fortuneswell (~1.7km away, approx)</t>
  </si>
  <si>
    <t>Overcombe (~0.7km away, approx)</t>
  </si>
  <si>
    <t>Overcombe (~13.3km away, approx)</t>
  </si>
  <si>
    <t>Swanage (~9.1km away, approx)</t>
  </si>
  <si>
    <t>Swanage (~1.7km away, approx)</t>
  </si>
  <si>
    <t>Poole (~5.4km away, approx)</t>
  </si>
  <si>
    <t>Partially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</si>
</sst>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6" formatCode="0.0"/>
    <numFmt numFmtId="167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B2E2E"/>
        <bgColor rgb="FF993366"/>
      </patternFill>
    </fill>
    <fill>
      <patternFill patternType="solid">
        <fgColor rgb="FFF2E4E4"/>
        <bgColor rgb="FFFFFFFF"/>
      </patternFill>
    </fill>
    <fill>
      <patternFill patternType="solid">
        <fgColor rgb="FF2F5F8F"/>
        <bgColor rgb="FF6666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1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  <xf numFmtId="164" fontId="2" fillId="3" borderId="0" xfId="0" applyNumberFormat="1" applyFont="1" applyFill="1"/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0" xfId="0" applyFont="1"/>
    <xf numFmtId="166" fontId="6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4E4"/>
      <rgbColor rgb="FFCCFFFF"/>
      <rgbColor rgb="FF660066"/>
      <rgbColor rgb="FFFF8080"/>
      <rgbColor rgb="FF2F5F8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B2E2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5"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17.25" customHeight="1" x14ac:dyDescent="0.2">
      <c r="A1" s="4" t="s">
        <v>0</v>
      </c>
    </row>
    <row r="2" spans="1:1" ht="15" customHeight="1" x14ac:dyDescent="0.2">
      <c r="A2" s="5"/>
    </row>
    <row r="3" spans="1:1" ht="15" customHeight="1" x14ac:dyDescent="0.2">
      <c r="A3" s="6" t="s">
        <v>1</v>
      </c>
    </row>
    <row r="4" spans="1:1" ht="26.25" customHeight="1" x14ac:dyDescent="0.2">
      <c r="A4" s="5" t="s">
        <v>2</v>
      </c>
    </row>
    <row r="5" spans="1:1" ht="15" customHeight="1" x14ac:dyDescent="0.2">
      <c r="A5" s="5"/>
    </row>
    <row r="6" spans="1:1" ht="15" customHeight="1" x14ac:dyDescent="0.2">
      <c r="A6" s="6" t="s">
        <v>3</v>
      </c>
    </row>
    <row r="7" spans="1:1" ht="51.75" customHeight="1" x14ac:dyDescent="0.2">
      <c r="A7" s="5" t="s">
        <v>4</v>
      </c>
    </row>
    <row r="8" spans="1:1" ht="26.25" customHeight="1" x14ac:dyDescent="0.2">
      <c r="A8" s="5" t="s">
        <v>5</v>
      </c>
    </row>
    <row r="9" spans="1:1" ht="15" customHeight="1" x14ac:dyDescent="0.2">
      <c r="A9" s="5" t="s">
        <v>6</v>
      </c>
    </row>
    <row r="10" spans="1:1" ht="26.25" customHeight="1" x14ac:dyDescent="0.2">
      <c r="A10" s="5" t="s">
        <v>7</v>
      </c>
    </row>
    <row r="11" spans="1:1" ht="26.25" customHeight="1" x14ac:dyDescent="0.2">
      <c r="A11" s="5" t="s">
        <v>8</v>
      </c>
    </row>
    <row r="12" spans="1:1" ht="26.25" customHeight="1" x14ac:dyDescent="0.2">
      <c r="A12" s="5" t="s">
        <v>9</v>
      </c>
    </row>
    <row r="13" spans="1:1" ht="15" customHeight="1" x14ac:dyDescent="0.2">
      <c r="A13" s="5"/>
    </row>
    <row r="14" spans="1:1" ht="15" customHeight="1" x14ac:dyDescent="0.2">
      <c r="A14" s="6" t="s">
        <v>10</v>
      </c>
    </row>
    <row r="15" spans="1:1" ht="15" customHeight="1" x14ac:dyDescent="0.2">
      <c r="A15" s="5" t="s">
        <v>11</v>
      </c>
    </row>
    <row r="16" spans="1:1" ht="15" customHeight="1" x14ac:dyDescent="0.2">
      <c r="A16" s="5" t="s">
        <v>12</v>
      </c>
    </row>
    <row r="17" spans="1:1" ht="26.25" customHeight="1" x14ac:dyDescent="0.2">
      <c r="A17" s="5" t="s">
        <v>13</v>
      </c>
    </row>
    <row r="18" spans="1:1" ht="15" customHeight="1" x14ac:dyDescent="0.2">
      <c r="A18" s="5" t="s">
        <v>14</v>
      </c>
    </row>
    <row r="19" spans="1:1" ht="15" customHeight="1" x14ac:dyDescent="0.2">
      <c r="A19" s="5" t="s">
        <v>15</v>
      </c>
    </row>
    <row r="20" spans="1:1" ht="15" customHeight="1" x14ac:dyDescent="0.2">
      <c r="A20" s="5"/>
    </row>
    <row r="21" spans="1:1" ht="15" customHeight="1" x14ac:dyDescent="0.2">
      <c r="A21" s="7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zoomScaleNormal="100" workbookViewId="0">
      <pane ySplit="2" topLeftCell="A13" activePane="bottomLeft" state="frozen"/>
      <selection pane="bottomLeft" activeCell="A3" sqref="A3:A48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30" customWidth="1"/>
    <col min="4" max="4" width="12" customWidth="1"/>
    <col min="5" max="5" width="10" customWidth="1"/>
    <col min="6" max="6" width="9" customWidth="1"/>
    <col min="7" max="10" width="11" customWidth="1"/>
    <col min="11" max="11" width="40" customWidth="1"/>
  </cols>
  <sheetData>
    <row r="1" spans="1:11" ht="60" customHeight="1" x14ac:dyDescent="0.2">
      <c r="A1" s="3" t="s">
        <v>17</v>
      </c>
      <c r="B1" s="3"/>
      <c r="C1" s="3"/>
      <c r="D1" s="3"/>
      <c r="E1" s="3"/>
      <c r="F1" s="3"/>
      <c r="G1" s="3"/>
      <c r="H1" s="3"/>
      <c r="I1" s="3"/>
      <c r="J1" s="3"/>
    </row>
    <row r="2" spans="1:11" x14ac:dyDescent="0.2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9" t="s">
        <v>28</v>
      </c>
    </row>
    <row r="3" spans="1:11" x14ac:dyDescent="0.2">
      <c r="A3" s="10">
        <v>1</v>
      </c>
      <c r="B3" s="10" t="s">
        <v>29</v>
      </c>
      <c r="C3" s="10" t="s">
        <v>30</v>
      </c>
      <c r="D3" s="10">
        <v>16</v>
      </c>
      <c r="E3" s="10">
        <v>620</v>
      </c>
      <c r="F3" s="10" t="s">
        <v>31</v>
      </c>
      <c r="G3" s="11">
        <v>51.211036</v>
      </c>
      <c r="H3" s="11">
        <v>-3.4735809999999998</v>
      </c>
      <c r="I3" s="11">
        <v>51.221941000000001</v>
      </c>
      <c r="J3" s="11">
        <v>-3.6392340000000001</v>
      </c>
      <c r="K3" s="10" t="s">
        <v>32</v>
      </c>
    </row>
    <row r="4" spans="1:11" x14ac:dyDescent="0.2">
      <c r="A4" s="10">
        <v>2</v>
      </c>
      <c r="B4" s="10" t="s">
        <v>30</v>
      </c>
      <c r="C4" s="10" t="s">
        <v>33</v>
      </c>
      <c r="D4" s="10">
        <v>18</v>
      </c>
      <c r="E4" s="10">
        <v>1200</v>
      </c>
      <c r="F4" s="10" t="s">
        <v>34</v>
      </c>
      <c r="G4" s="11">
        <v>51.221941000000001</v>
      </c>
      <c r="H4" s="11">
        <v>-3.6392340000000001</v>
      </c>
      <c r="I4" s="11">
        <v>51.231287999999999</v>
      </c>
      <c r="J4" s="11">
        <v>-3.823553</v>
      </c>
      <c r="K4" s="10" t="s">
        <v>32</v>
      </c>
    </row>
    <row r="5" spans="1:11" x14ac:dyDescent="0.2">
      <c r="A5" s="10">
        <v>3</v>
      </c>
      <c r="B5" s="10" t="s">
        <v>33</v>
      </c>
      <c r="C5" s="10" t="s">
        <v>35</v>
      </c>
      <c r="D5" s="10">
        <v>21.5</v>
      </c>
      <c r="E5" s="10">
        <v>1330</v>
      </c>
      <c r="F5" s="10" t="s">
        <v>36</v>
      </c>
      <c r="G5" s="11">
        <v>51.231287999999999</v>
      </c>
      <c r="H5" s="11">
        <v>-3.823553</v>
      </c>
      <c r="I5" s="11">
        <v>51.209730999999998</v>
      </c>
      <c r="J5" s="11">
        <v>-4.0383849999999999</v>
      </c>
      <c r="K5" s="10" t="s">
        <v>32</v>
      </c>
    </row>
    <row r="6" spans="1:11" x14ac:dyDescent="0.2">
      <c r="A6" s="10">
        <v>4</v>
      </c>
      <c r="B6" s="10" t="s">
        <v>35</v>
      </c>
      <c r="C6" s="10" t="s">
        <v>37</v>
      </c>
      <c r="D6" s="10">
        <v>23.5</v>
      </c>
      <c r="E6" s="10">
        <v>1020</v>
      </c>
      <c r="F6" s="10" t="s">
        <v>34</v>
      </c>
      <c r="G6" s="11">
        <v>51.209730999999998</v>
      </c>
      <c r="H6" s="11">
        <v>-4.0383849999999999</v>
      </c>
      <c r="I6" s="11">
        <v>51.168188000000001</v>
      </c>
      <c r="J6" s="11">
        <v>-4.2064859999999999</v>
      </c>
      <c r="K6" s="10" t="s">
        <v>32</v>
      </c>
    </row>
    <row r="7" spans="1:11" x14ac:dyDescent="0.2">
      <c r="A7" s="10">
        <v>5</v>
      </c>
      <c r="B7" s="10" t="s">
        <v>37</v>
      </c>
      <c r="C7" s="10" t="s">
        <v>38</v>
      </c>
      <c r="D7" s="10">
        <v>23.5</v>
      </c>
      <c r="E7" s="10">
        <v>430</v>
      </c>
      <c r="F7" s="10" t="s">
        <v>34</v>
      </c>
      <c r="G7" s="11">
        <v>51.168188000000001</v>
      </c>
      <c r="H7" s="11">
        <v>-4.2064859999999999</v>
      </c>
      <c r="I7" s="11">
        <v>51.096347999999999</v>
      </c>
      <c r="J7" s="11">
        <v>-4.1554260000000003</v>
      </c>
      <c r="K7" s="10" t="s">
        <v>32</v>
      </c>
    </row>
    <row r="8" spans="1:11" x14ac:dyDescent="0.2">
      <c r="A8" s="10">
        <v>6</v>
      </c>
      <c r="B8" s="10" t="s">
        <v>38</v>
      </c>
      <c r="C8" s="10" t="s">
        <v>39</v>
      </c>
      <c r="D8" s="10">
        <v>37.5</v>
      </c>
      <c r="E8" s="10">
        <v>250</v>
      </c>
      <c r="F8" s="10" t="s">
        <v>40</v>
      </c>
      <c r="G8" s="11">
        <v>51.096347999999999</v>
      </c>
      <c r="H8" s="11">
        <v>-4.1554260000000003</v>
      </c>
      <c r="I8" s="11">
        <v>51.035091000000001</v>
      </c>
      <c r="J8" s="11">
        <v>-4.2602710000000004</v>
      </c>
      <c r="K8" s="10" t="s">
        <v>32</v>
      </c>
    </row>
    <row r="9" spans="1:11" x14ac:dyDescent="0.2">
      <c r="A9" s="10">
        <v>7</v>
      </c>
      <c r="B9" s="10" t="s">
        <v>39</v>
      </c>
      <c r="C9" s="10" t="s">
        <v>41</v>
      </c>
      <c r="D9" s="10">
        <v>18.5</v>
      </c>
      <c r="E9" s="10">
        <v>980</v>
      </c>
      <c r="F9" s="10" t="s">
        <v>34</v>
      </c>
      <c r="G9" s="11">
        <v>51.035091000000001</v>
      </c>
      <c r="H9" s="11">
        <v>-4.2602710000000004</v>
      </c>
      <c r="I9" s="11">
        <v>51.010393000000001</v>
      </c>
      <c r="J9" s="11">
        <v>-4.4180099999999998</v>
      </c>
      <c r="K9" s="10" t="s">
        <v>32</v>
      </c>
    </row>
    <row r="10" spans="1:11" x14ac:dyDescent="0.2">
      <c r="A10" s="10">
        <v>8</v>
      </c>
      <c r="B10" s="10" t="s">
        <v>41</v>
      </c>
      <c r="C10" s="10" t="s">
        <v>42</v>
      </c>
      <c r="D10" s="10">
        <v>16.5</v>
      </c>
      <c r="E10" s="10">
        <v>1000</v>
      </c>
      <c r="F10" s="10" t="s">
        <v>31</v>
      </c>
      <c r="G10" s="11">
        <v>51.010393000000001</v>
      </c>
      <c r="H10" s="11">
        <v>-4.4180099999999998</v>
      </c>
      <c r="I10" s="11">
        <v>50.977232999999998</v>
      </c>
      <c r="J10" s="11">
        <v>-4.5315570000000003</v>
      </c>
      <c r="K10" s="10" t="s">
        <v>32</v>
      </c>
    </row>
    <row r="11" spans="1:11" x14ac:dyDescent="0.2">
      <c r="A11" s="10">
        <v>9</v>
      </c>
      <c r="B11" s="10" t="s">
        <v>42</v>
      </c>
      <c r="C11" s="10" t="s">
        <v>43</v>
      </c>
      <c r="D11" s="10">
        <v>24.5</v>
      </c>
      <c r="E11" s="10">
        <v>1390</v>
      </c>
      <c r="F11" s="10" t="s">
        <v>44</v>
      </c>
      <c r="G11" s="11">
        <v>50.977232999999998</v>
      </c>
      <c r="H11" s="11">
        <v>-4.5315570000000003</v>
      </c>
      <c r="I11" s="11">
        <v>50.808801000000003</v>
      </c>
      <c r="J11" s="11">
        <v>-4.5555310000000002</v>
      </c>
      <c r="K11" s="10" t="s">
        <v>32</v>
      </c>
    </row>
    <row r="12" spans="1:11" x14ac:dyDescent="0.2">
      <c r="A12" s="10">
        <v>10</v>
      </c>
      <c r="B12" s="10" t="s">
        <v>43</v>
      </c>
      <c r="C12" s="10" t="s">
        <v>45</v>
      </c>
      <c r="D12" s="10">
        <v>27</v>
      </c>
      <c r="E12" s="10">
        <v>1380</v>
      </c>
      <c r="F12" s="10" t="s">
        <v>46</v>
      </c>
      <c r="G12" s="11">
        <v>50.808801000000003</v>
      </c>
      <c r="H12" s="11">
        <v>-4.5555310000000002</v>
      </c>
      <c r="I12" s="11">
        <v>50.678718000000003</v>
      </c>
      <c r="J12" s="11">
        <v>-4.7267849999999996</v>
      </c>
      <c r="K12" s="10" t="s">
        <v>32</v>
      </c>
    </row>
    <row r="13" spans="1:11" x14ac:dyDescent="0.2">
      <c r="A13" s="10">
        <v>11</v>
      </c>
      <c r="B13" s="10" t="s">
        <v>45</v>
      </c>
      <c r="C13" s="10" t="s">
        <v>47</v>
      </c>
      <c r="D13" s="10">
        <v>22</v>
      </c>
      <c r="E13" s="10">
        <v>1250</v>
      </c>
      <c r="F13" s="10" t="s">
        <v>48</v>
      </c>
      <c r="G13" s="11">
        <v>50.678718000000003</v>
      </c>
      <c r="H13" s="11">
        <v>-4.7267849999999996</v>
      </c>
      <c r="I13" s="11">
        <v>50.594468999999997</v>
      </c>
      <c r="J13" s="11">
        <v>-4.8686160000000003</v>
      </c>
      <c r="K13" s="10" t="s">
        <v>32</v>
      </c>
    </row>
    <row r="14" spans="1:11" x14ac:dyDescent="0.2">
      <c r="A14" s="10">
        <v>12</v>
      </c>
      <c r="B14" s="10" t="s">
        <v>47</v>
      </c>
      <c r="C14" s="10" t="s">
        <v>49</v>
      </c>
      <c r="D14" s="10">
        <v>19</v>
      </c>
      <c r="E14" s="10">
        <v>920</v>
      </c>
      <c r="F14" s="10" t="s">
        <v>50</v>
      </c>
      <c r="G14" s="11">
        <v>50.594468999999997</v>
      </c>
      <c r="H14" s="11">
        <v>-4.8686160000000003</v>
      </c>
      <c r="I14" s="11">
        <v>50.562538000000004</v>
      </c>
      <c r="J14" s="11">
        <v>-4.9472529999999999</v>
      </c>
      <c r="K14" s="10" t="s">
        <v>32</v>
      </c>
    </row>
    <row r="15" spans="1:11" x14ac:dyDescent="0.2">
      <c r="A15" s="10">
        <v>13</v>
      </c>
      <c r="B15" s="10" t="s">
        <v>49</v>
      </c>
      <c r="C15" s="10" t="s">
        <v>51</v>
      </c>
      <c r="D15" s="10">
        <v>22</v>
      </c>
      <c r="E15" s="10">
        <v>640</v>
      </c>
      <c r="F15" s="10" t="s">
        <v>34</v>
      </c>
      <c r="G15" s="11">
        <v>50.562538000000004</v>
      </c>
      <c r="H15" s="11">
        <v>-4.9472529999999999</v>
      </c>
      <c r="I15" s="11">
        <v>50.482123000000001</v>
      </c>
      <c r="J15" s="11">
        <v>-5.0334969999999997</v>
      </c>
      <c r="K15" s="10" t="s">
        <v>32</v>
      </c>
    </row>
    <row r="16" spans="1:11" x14ac:dyDescent="0.2">
      <c r="A16" s="10">
        <v>14</v>
      </c>
      <c r="B16" s="10" t="s">
        <v>51</v>
      </c>
      <c r="C16" s="10" t="s">
        <v>52</v>
      </c>
      <c r="D16" s="10">
        <v>18</v>
      </c>
      <c r="E16" s="10">
        <v>670</v>
      </c>
      <c r="F16" s="10" t="s">
        <v>31</v>
      </c>
      <c r="G16" s="11">
        <v>50.482123000000001</v>
      </c>
      <c r="H16" s="11">
        <v>-5.0334969999999997</v>
      </c>
      <c r="I16" s="11">
        <v>50.410246999999998</v>
      </c>
      <c r="J16" s="11">
        <v>-5.1076579999999998</v>
      </c>
      <c r="K16" s="10" t="s">
        <v>32</v>
      </c>
    </row>
    <row r="17" spans="1:11" x14ac:dyDescent="0.2">
      <c r="A17" s="10">
        <v>15</v>
      </c>
      <c r="B17" s="10" t="s">
        <v>52</v>
      </c>
      <c r="C17" s="10" t="s">
        <v>53</v>
      </c>
      <c r="D17" s="10">
        <v>18</v>
      </c>
      <c r="E17" s="10">
        <v>580</v>
      </c>
      <c r="F17" s="10" t="s">
        <v>31</v>
      </c>
      <c r="G17" s="11">
        <v>50.410246999999998</v>
      </c>
      <c r="H17" s="11">
        <v>-5.1076579999999998</v>
      </c>
      <c r="I17" s="11">
        <v>50.345984000000001</v>
      </c>
      <c r="J17" s="11">
        <v>-5.1548749999999997</v>
      </c>
      <c r="K17" s="10" t="s">
        <v>32</v>
      </c>
    </row>
    <row r="18" spans="1:11" x14ac:dyDescent="0.2">
      <c r="A18" s="10">
        <v>16</v>
      </c>
      <c r="B18" s="10" t="s">
        <v>53</v>
      </c>
      <c r="C18" s="10" t="s">
        <v>54</v>
      </c>
      <c r="D18" s="10">
        <v>19.5</v>
      </c>
      <c r="E18" s="10">
        <v>880</v>
      </c>
      <c r="F18" s="10" t="s">
        <v>34</v>
      </c>
      <c r="G18" s="11">
        <v>50.345984000000001</v>
      </c>
      <c r="H18" s="11">
        <v>-5.1548749999999997</v>
      </c>
      <c r="I18" s="11">
        <v>50.260809999999999</v>
      </c>
      <c r="J18" s="11">
        <v>-5.2952300000000001</v>
      </c>
      <c r="K18" s="10" t="s">
        <v>32</v>
      </c>
    </row>
    <row r="19" spans="1:11" x14ac:dyDescent="0.2">
      <c r="A19" s="10">
        <v>17</v>
      </c>
      <c r="B19" s="10" t="s">
        <v>54</v>
      </c>
      <c r="C19" s="10" t="s">
        <v>55</v>
      </c>
      <c r="D19" s="10">
        <v>29</v>
      </c>
      <c r="E19" s="10">
        <v>810</v>
      </c>
      <c r="F19" s="10" t="s">
        <v>44</v>
      </c>
      <c r="G19" s="11">
        <v>50.260809999999999</v>
      </c>
      <c r="H19" s="11">
        <v>-5.2952300000000001</v>
      </c>
      <c r="I19" s="11">
        <v>50.216527999999997</v>
      </c>
      <c r="J19" s="11">
        <v>-5.4787939999999997</v>
      </c>
      <c r="K19" s="10" t="s">
        <v>32</v>
      </c>
    </row>
    <row r="20" spans="1:11" x14ac:dyDescent="0.2">
      <c r="A20" s="10">
        <v>18</v>
      </c>
      <c r="B20" s="10" t="s">
        <v>55</v>
      </c>
      <c r="C20" s="10" t="s">
        <v>56</v>
      </c>
      <c r="D20" s="10">
        <v>21.5</v>
      </c>
      <c r="E20" s="10">
        <v>1100</v>
      </c>
      <c r="F20" s="10" t="s">
        <v>48</v>
      </c>
      <c r="G20" s="11">
        <v>50.216527999999997</v>
      </c>
      <c r="H20" s="11">
        <v>-5.4787939999999997</v>
      </c>
      <c r="I20" s="11">
        <v>50.158791000000001</v>
      </c>
      <c r="J20" s="11">
        <v>-5.6771710000000004</v>
      </c>
      <c r="K20" s="10" t="s">
        <v>32</v>
      </c>
    </row>
    <row r="21" spans="1:11" x14ac:dyDescent="0.2">
      <c r="A21" s="10">
        <v>19</v>
      </c>
      <c r="B21" s="10" t="s">
        <v>56</v>
      </c>
      <c r="C21" s="10" t="s">
        <v>57</v>
      </c>
      <c r="D21" s="10">
        <v>25</v>
      </c>
      <c r="E21" s="10">
        <v>900</v>
      </c>
      <c r="F21" s="10" t="s">
        <v>48</v>
      </c>
      <c r="G21" s="11">
        <v>50.158791000000001</v>
      </c>
      <c r="H21" s="11">
        <v>-5.6771710000000004</v>
      </c>
      <c r="I21" s="11">
        <v>50.044763000000003</v>
      </c>
      <c r="J21" s="11">
        <v>-5.634531</v>
      </c>
      <c r="K21" s="10" t="s">
        <v>32</v>
      </c>
    </row>
    <row r="22" spans="1:11" x14ac:dyDescent="0.2">
      <c r="A22" s="10">
        <v>20</v>
      </c>
      <c r="B22" s="10" t="s">
        <v>57</v>
      </c>
      <c r="C22" s="10" t="s">
        <v>58</v>
      </c>
      <c r="D22" s="10">
        <v>18.5</v>
      </c>
      <c r="E22" s="10">
        <v>550</v>
      </c>
      <c r="F22" s="10" t="s">
        <v>59</v>
      </c>
      <c r="G22" s="11">
        <v>50.044763000000003</v>
      </c>
      <c r="H22" s="11">
        <v>-5.634531</v>
      </c>
      <c r="I22" s="11">
        <v>50.127651999999998</v>
      </c>
      <c r="J22" s="11">
        <v>-5.511552</v>
      </c>
      <c r="K22" s="10" t="s">
        <v>32</v>
      </c>
    </row>
    <row r="23" spans="1:11" x14ac:dyDescent="0.2">
      <c r="A23" s="10">
        <v>21</v>
      </c>
      <c r="B23" s="10" t="s">
        <v>58</v>
      </c>
      <c r="C23" s="10" t="s">
        <v>60</v>
      </c>
      <c r="D23" s="10">
        <v>22</v>
      </c>
      <c r="E23" s="10">
        <v>790</v>
      </c>
      <c r="F23" s="10" t="s">
        <v>34</v>
      </c>
      <c r="G23" s="11">
        <v>50.127651999999998</v>
      </c>
      <c r="H23" s="11">
        <v>-5.511552</v>
      </c>
      <c r="I23" s="11">
        <v>50.075271999999998</v>
      </c>
      <c r="J23" s="11">
        <v>-5.3012230000000002</v>
      </c>
      <c r="K23" s="10" t="s">
        <v>32</v>
      </c>
    </row>
    <row r="24" spans="1:11" x14ac:dyDescent="0.2">
      <c r="A24" s="10">
        <v>22</v>
      </c>
      <c r="B24" s="10" t="s">
        <v>60</v>
      </c>
      <c r="C24" s="10" t="s">
        <v>61</v>
      </c>
      <c r="D24" s="10">
        <v>22</v>
      </c>
      <c r="E24" s="10">
        <v>760</v>
      </c>
      <c r="F24" s="10" t="s">
        <v>36</v>
      </c>
      <c r="G24" s="11">
        <v>50.075271999999998</v>
      </c>
      <c r="H24" s="11">
        <v>-5.3012230000000002</v>
      </c>
      <c r="I24" s="11">
        <v>49.964162999999999</v>
      </c>
      <c r="J24" s="11">
        <v>-5.1896950000000004</v>
      </c>
      <c r="K24" s="10" t="s">
        <v>32</v>
      </c>
    </row>
    <row r="25" spans="1:11" x14ac:dyDescent="0.2">
      <c r="A25" s="10">
        <v>23</v>
      </c>
      <c r="B25" s="10" t="s">
        <v>61</v>
      </c>
      <c r="C25" s="10" t="s">
        <v>62</v>
      </c>
      <c r="D25" s="10">
        <v>24.5</v>
      </c>
      <c r="E25" s="10">
        <v>900</v>
      </c>
      <c r="F25" s="10" t="s">
        <v>44</v>
      </c>
      <c r="G25" s="11">
        <v>49.964162999999999</v>
      </c>
      <c r="H25" s="11">
        <v>-5.1896950000000004</v>
      </c>
      <c r="I25" s="11">
        <v>50.076968999999998</v>
      </c>
      <c r="J25" s="11">
        <v>-5.0799940000000001</v>
      </c>
      <c r="K25" s="10" t="s">
        <v>32</v>
      </c>
    </row>
    <row r="26" spans="1:11" x14ac:dyDescent="0.2">
      <c r="A26" s="10">
        <v>24</v>
      </c>
      <c r="B26" s="10" t="s">
        <v>62</v>
      </c>
      <c r="C26" s="10" t="s">
        <v>63</v>
      </c>
      <c r="D26" s="10">
        <v>26</v>
      </c>
      <c r="E26" s="10">
        <v>770</v>
      </c>
      <c r="F26" s="10" t="s">
        <v>46</v>
      </c>
      <c r="G26" s="11">
        <v>50.076968999999998</v>
      </c>
      <c r="H26" s="11">
        <v>-5.0799940000000001</v>
      </c>
      <c r="I26" s="11">
        <v>50.149169999999998</v>
      </c>
      <c r="J26" s="11">
        <v>-5.0477210000000001</v>
      </c>
      <c r="K26" s="10" t="s">
        <v>32</v>
      </c>
    </row>
    <row r="27" spans="1:11" x14ac:dyDescent="0.2">
      <c r="A27" s="10">
        <v>25</v>
      </c>
      <c r="B27" s="10" t="s">
        <v>63</v>
      </c>
      <c r="C27" s="10" t="s">
        <v>64</v>
      </c>
      <c r="D27" s="10">
        <v>22</v>
      </c>
      <c r="E27" s="10">
        <v>860</v>
      </c>
      <c r="F27" s="10" t="s">
        <v>36</v>
      </c>
      <c r="G27" s="11">
        <v>50.149169999999998</v>
      </c>
      <c r="H27" s="11">
        <v>-5.0477210000000001</v>
      </c>
      <c r="I27" s="11">
        <v>50.207742000000003</v>
      </c>
      <c r="J27" s="11">
        <v>-4.9410689999999997</v>
      </c>
      <c r="K27" s="10" t="s">
        <v>32</v>
      </c>
    </row>
    <row r="28" spans="1:11" x14ac:dyDescent="0.2">
      <c r="A28" s="10">
        <v>26</v>
      </c>
      <c r="B28" s="10" t="s">
        <v>64</v>
      </c>
      <c r="C28" s="10" t="s">
        <v>65</v>
      </c>
      <c r="D28" s="10">
        <v>19.5</v>
      </c>
      <c r="E28" s="10">
        <v>890</v>
      </c>
      <c r="F28" s="10" t="s">
        <v>34</v>
      </c>
      <c r="G28" s="11">
        <v>50.207742000000003</v>
      </c>
      <c r="H28" s="11">
        <v>-4.9410689999999997</v>
      </c>
      <c r="I28" s="11">
        <v>50.237527</v>
      </c>
      <c r="J28" s="11">
        <v>-4.7817600000000002</v>
      </c>
      <c r="K28" s="10" t="s">
        <v>32</v>
      </c>
    </row>
    <row r="29" spans="1:11" x14ac:dyDescent="0.2">
      <c r="A29" s="10">
        <v>27</v>
      </c>
      <c r="B29" s="10" t="s">
        <v>65</v>
      </c>
      <c r="C29" s="10" t="s">
        <v>66</v>
      </c>
      <c r="D29" s="10">
        <v>19</v>
      </c>
      <c r="E29" s="10">
        <v>690</v>
      </c>
      <c r="F29" s="10" t="s">
        <v>34</v>
      </c>
      <c r="G29" s="11">
        <v>50.237527</v>
      </c>
      <c r="H29" s="11">
        <v>-4.7817600000000002</v>
      </c>
      <c r="I29" s="11">
        <v>50.335408000000001</v>
      </c>
      <c r="J29" s="11">
        <v>-4.7399589999999998</v>
      </c>
      <c r="K29" s="10" t="s">
        <v>32</v>
      </c>
    </row>
    <row r="30" spans="1:11" x14ac:dyDescent="0.2">
      <c r="A30" s="10">
        <v>28</v>
      </c>
      <c r="B30" s="10" t="s">
        <v>66</v>
      </c>
      <c r="C30" s="10" t="s">
        <v>67</v>
      </c>
      <c r="D30" s="10">
        <v>21</v>
      </c>
      <c r="E30" s="10">
        <v>940</v>
      </c>
      <c r="F30" s="10" t="s">
        <v>36</v>
      </c>
      <c r="G30" s="11">
        <v>50.335408000000001</v>
      </c>
      <c r="H30" s="11">
        <v>-4.7399589999999998</v>
      </c>
      <c r="I30" s="11">
        <v>50.332191000000002</v>
      </c>
      <c r="J30" s="11">
        <v>-4.5860089999999998</v>
      </c>
      <c r="K30" s="10" t="s">
        <v>32</v>
      </c>
    </row>
    <row r="31" spans="1:11" x14ac:dyDescent="0.2">
      <c r="A31" s="10">
        <v>29</v>
      </c>
      <c r="B31" s="10" t="s">
        <v>67</v>
      </c>
      <c r="C31" s="10" t="s">
        <v>68</v>
      </c>
      <c r="D31" s="10">
        <v>21</v>
      </c>
      <c r="E31" s="10">
        <v>860</v>
      </c>
      <c r="F31" s="10" t="s">
        <v>36</v>
      </c>
      <c r="G31" s="11">
        <v>50.332191000000002</v>
      </c>
      <c r="H31" s="11">
        <v>-4.5860089999999998</v>
      </c>
      <c r="I31" s="11">
        <v>50.362372000000001</v>
      </c>
      <c r="J31" s="11">
        <v>-4.3728769999999999</v>
      </c>
      <c r="K31" s="10" t="s">
        <v>32</v>
      </c>
    </row>
    <row r="32" spans="1:11" x14ac:dyDescent="0.2">
      <c r="A32" s="10">
        <v>30</v>
      </c>
      <c r="B32" s="10" t="s">
        <v>68</v>
      </c>
      <c r="C32" s="10" t="s">
        <v>69</v>
      </c>
      <c r="D32" s="10">
        <v>20.5</v>
      </c>
      <c r="E32" s="10">
        <v>700</v>
      </c>
      <c r="F32" s="10" t="s">
        <v>34</v>
      </c>
      <c r="G32" s="11">
        <v>50.362372000000001</v>
      </c>
      <c r="H32" s="11">
        <v>-4.3728769999999999</v>
      </c>
      <c r="I32" s="11">
        <v>50.333311999999999</v>
      </c>
      <c r="J32" s="11">
        <v>-4.2013949999999998</v>
      </c>
      <c r="K32" s="10" t="s">
        <v>32</v>
      </c>
    </row>
    <row r="33" spans="1:11" x14ac:dyDescent="0.2">
      <c r="A33" s="10">
        <v>31</v>
      </c>
      <c r="B33" s="10" t="s">
        <v>69</v>
      </c>
      <c r="C33" s="10" t="s">
        <v>70</v>
      </c>
      <c r="D33" s="10">
        <v>23</v>
      </c>
      <c r="E33" s="10">
        <v>440</v>
      </c>
      <c r="F33" s="10" t="s">
        <v>48</v>
      </c>
      <c r="G33" s="11">
        <v>50.333311999999999</v>
      </c>
      <c r="H33" s="11">
        <v>-4.2013949999999998</v>
      </c>
      <c r="I33" s="11">
        <v>50.337277</v>
      </c>
      <c r="J33" s="11">
        <v>-4.1237899999999996</v>
      </c>
      <c r="K33" s="10" t="s">
        <v>32</v>
      </c>
    </row>
    <row r="34" spans="1:11" x14ac:dyDescent="0.2">
      <c r="A34" s="10">
        <v>32</v>
      </c>
      <c r="B34" s="10" t="s">
        <v>70</v>
      </c>
      <c r="C34" s="10" t="s">
        <v>71</v>
      </c>
      <c r="D34" s="10">
        <v>25</v>
      </c>
      <c r="E34" s="10">
        <v>920</v>
      </c>
      <c r="F34" s="10" t="s">
        <v>44</v>
      </c>
      <c r="G34" s="11">
        <v>50.337277</v>
      </c>
      <c r="H34" s="11">
        <v>-4.1237899999999996</v>
      </c>
      <c r="I34" s="11">
        <v>50.297545999999997</v>
      </c>
      <c r="J34" s="11">
        <v>-3.9423569999999999</v>
      </c>
      <c r="K34" s="10" t="s">
        <v>32</v>
      </c>
    </row>
    <row r="35" spans="1:11" x14ac:dyDescent="0.2">
      <c r="A35" s="10">
        <v>33</v>
      </c>
      <c r="B35" s="10" t="s">
        <v>71</v>
      </c>
      <c r="C35" s="10" t="s">
        <v>72</v>
      </c>
      <c r="D35" s="10">
        <v>21.5</v>
      </c>
      <c r="E35" s="10">
        <v>720</v>
      </c>
      <c r="F35" s="10" t="s">
        <v>36</v>
      </c>
      <c r="G35" s="11">
        <v>50.297545999999997</v>
      </c>
      <c r="H35" s="11">
        <v>-3.9423569999999999</v>
      </c>
      <c r="I35" s="11">
        <v>50.213405000000002</v>
      </c>
      <c r="J35" s="11">
        <v>-3.7880120000000002</v>
      </c>
      <c r="K35" s="10" t="s">
        <v>32</v>
      </c>
    </row>
    <row r="36" spans="1:11" x14ac:dyDescent="0.2">
      <c r="A36" s="10">
        <v>34</v>
      </c>
      <c r="B36" s="10" t="s">
        <v>72</v>
      </c>
      <c r="C36" s="10" t="s">
        <v>73</v>
      </c>
      <c r="D36" s="10">
        <v>29.5</v>
      </c>
      <c r="E36" s="10">
        <v>1100</v>
      </c>
      <c r="F36" s="10" t="s">
        <v>40</v>
      </c>
      <c r="G36" s="11">
        <v>50.213405000000002</v>
      </c>
      <c r="H36" s="11">
        <v>-3.7880120000000002</v>
      </c>
      <c r="I36" s="11">
        <v>50.309409000000002</v>
      </c>
      <c r="J36" s="11">
        <v>-3.6294490000000001</v>
      </c>
      <c r="K36" s="10" t="s">
        <v>32</v>
      </c>
    </row>
    <row r="37" spans="1:11" x14ac:dyDescent="0.2">
      <c r="A37" s="10">
        <v>35</v>
      </c>
      <c r="B37" s="10" t="s">
        <v>73</v>
      </c>
      <c r="C37" s="10" t="s">
        <v>74</v>
      </c>
      <c r="D37" s="10">
        <v>25</v>
      </c>
      <c r="E37" s="10">
        <v>1300</v>
      </c>
      <c r="F37" s="10" t="s">
        <v>44</v>
      </c>
      <c r="G37" s="11">
        <v>50.309409000000002</v>
      </c>
      <c r="H37" s="11">
        <v>-3.6294490000000001</v>
      </c>
      <c r="I37" s="11">
        <v>50.392091000000001</v>
      </c>
      <c r="J37" s="11">
        <v>-3.495463</v>
      </c>
      <c r="K37" s="10" t="s">
        <v>32</v>
      </c>
    </row>
    <row r="38" spans="1:11" x14ac:dyDescent="0.2">
      <c r="A38" s="10">
        <v>36</v>
      </c>
      <c r="B38" s="10" t="s">
        <v>74</v>
      </c>
      <c r="C38" s="10" t="s">
        <v>75</v>
      </c>
      <c r="D38" s="10">
        <v>31</v>
      </c>
      <c r="E38" s="10">
        <v>1300</v>
      </c>
      <c r="F38" s="10" t="s">
        <v>76</v>
      </c>
      <c r="G38" s="11">
        <v>50.392091000000001</v>
      </c>
      <c r="H38" s="11">
        <v>-3.495463</v>
      </c>
      <c r="I38" s="11">
        <v>50.523716</v>
      </c>
      <c r="J38" s="11">
        <v>-3.507387</v>
      </c>
      <c r="K38" s="10" t="s">
        <v>32</v>
      </c>
    </row>
    <row r="39" spans="1:11" x14ac:dyDescent="0.2">
      <c r="A39" s="10">
        <v>37</v>
      </c>
      <c r="B39" s="10" t="s">
        <v>75</v>
      </c>
      <c r="C39" s="10" t="s">
        <v>77</v>
      </c>
      <c r="D39" s="10">
        <v>22</v>
      </c>
      <c r="E39" s="10">
        <v>470</v>
      </c>
      <c r="F39" s="10" t="s">
        <v>48</v>
      </c>
      <c r="G39" s="11">
        <v>50.523716</v>
      </c>
      <c r="H39" s="11">
        <v>-3.507387</v>
      </c>
      <c r="I39" s="11">
        <v>50.610303000000002</v>
      </c>
      <c r="J39" s="11">
        <v>-3.3678560000000002</v>
      </c>
      <c r="K39" s="10" t="s">
        <v>32</v>
      </c>
    </row>
    <row r="40" spans="1:11" x14ac:dyDescent="0.2">
      <c r="A40" s="10">
        <v>38</v>
      </c>
      <c r="B40" s="10" t="s">
        <v>77</v>
      </c>
      <c r="C40" s="10" t="s">
        <v>78</v>
      </c>
      <c r="D40" s="10">
        <v>27.5</v>
      </c>
      <c r="E40" s="10">
        <v>1160</v>
      </c>
      <c r="F40" s="10" t="s">
        <v>46</v>
      </c>
      <c r="G40" s="11">
        <v>50.610303000000002</v>
      </c>
      <c r="H40" s="11">
        <v>-3.3678560000000002</v>
      </c>
      <c r="I40" s="11">
        <v>50.686432000000003</v>
      </c>
      <c r="J40" s="11">
        <v>-3.0998450000000002</v>
      </c>
      <c r="K40" s="10" t="s">
        <v>32</v>
      </c>
    </row>
    <row r="41" spans="1:11" x14ac:dyDescent="0.2">
      <c r="A41" s="10">
        <v>39</v>
      </c>
      <c r="B41" s="10" t="s">
        <v>78</v>
      </c>
      <c r="C41" s="10" t="s">
        <v>79</v>
      </c>
      <c r="D41" s="10">
        <v>24.5</v>
      </c>
      <c r="E41" s="10">
        <v>920</v>
      </c>
      <c r="F41" s="10" t="s">
        <v>44</v>
      </c>
      <c r="G41" s="11">
        <v>50.686432000000003</v>
      </c>
      <c r="H41" s="11">
        <v>-3.0998450000000002</v>
      </c>
      <c r="I41" s="11">
        <v>50.730193</v>
      </c>
      <c r="J41" s="11">
        <v>-2.8597299999999999</v>
      </c>
      <c r="K41" s="10" t="s">
        <v>32</v>
      </c>
    </row>
    <row r="42" spans="1:11" x14ac:dyDescent="0.2">
      <c r="A42" s="10">
        <v>40</v>
      </c>
      <c r="B42" s="10" t="s">
        <v>79</v>
      </c>
      <c r="C42" s="10" t="s">
        <v>80</v>
      </c>
      <c r="D42" s="10">
        <v>19.5</v>
      </c>
      <c r="E42" s="10">
        <v>360</v>
      </c>
      <c r="F42" s="10" t="s">
        <v>34</v>
      </c>
      <c r="G42" s="11">
        <v>50.730193</v>
      </c>
      <c r="H42" s="11">
        <v>-2.8597299999999999</v>
      </c>
      <c r="I42" s="11">
        <v>50.662159000000003</v>
      </c>
      <c r="J42" s="11">
        <v>-2.630916</v>
      </c>
      <c r="K42" s="10" t="s">
        <v>32</v>
      </c>
    </row>
    <row r="43" spans="1:11" x14ac:dyDescent="0.2">
      <c r="A43" s="10">
        <v>41</v>
      </c>
      <c r="B43" s="10" t="s">
        <v>80</v>
      </c>
      <c r="C43" s="10" t="s">
        <v>81</v>
      </c>
      <c r="D43" s="10">
        <v>18</v>
      </c>
      <c r="E43" s="10">
        <v>250</v>
      </c>
      <c r="F43" s="10" t="s">
        <v>31</v>
      </c>
      <c r="G43" s="11">
        <v>50.662159000000003</v>
      </c>
      <c r="H43" s="11">
        <v>-2.630916</v>
      </c>
      <c r="I43" s="11">
        <v>50.582999999999998</v>
      </c>
      <c r="J43" s="11">
        <v>-2.4712000000000001</v>
      </c>
      <c r="K43" s="10" t="s">
        <v>82</v>
      </c>
    </row>
    <row r="44" spans="1:11" x14ac:dyDescent="0.2">
      <c r="A44" s="10">
        <v>43</v>
      </c>
      <c r="B44" s="10" t="s">
        <v>81</v>
      </c>
      <c r="C44" s="10" t="s">
        <v>83</v>
      </c>
      <c r="D44" s="10">
        <v>23.5</v>
      </c>
      <c r="E44" s="10">
        <v>640</v>
      </c>
      <c r="F44" s="10" t="s">
        <v>48</v>
      </c>
      <c r="G44" s="11">
        <v>50.582999999999998</v>
      </c>
      <c r="H44" s="11">
        <v>-2.4712000000000001</v>
      </c>
      <c r="I44" s="11">
        <v>50.618299999999998</v>
      </c>
      <c r="J44" s="11">
        <v>-2.2469000000000001</v>
      </c>
      <c r="K44" s="10" t="s">
        <v>82</v>
      </c>
    </row>
    <row r="45" spans="1:11" x14ac:dyDescent="0.2">
      <c r="A45" s="10">
        <v>44</v>
      </c>
      <c r="B45" s="10" t="s">
        <v>83</v>
      </c>
      <c r="C45" s="10" t="s">
        <v>84</v>
      </c>
      <c r="D45" s="10">
        <v>33</v>
      </c>
      <c r="E45" s="10">
        <v>1340</v>
      </c>
      <c r="F45" s="10" t="s">
        <v>76</v>
      </c>
      <c r="G45" s="11">
        <v>50.618299999999998</v>
      </c>
      <c r="H45" s="11">
        <v>-2.2469000000000001</v>
      </c>
      <c r="I45" s="11">
        <v>50.610053000000001</v>
      </c>
      <c r="J45" s="11">
        <v>-2.1452230000000001</v>
      </c>
      <c r="K45" s="10" t="s">
        <v>82</v>
      </c>
    </row>
    <row r="46" spans="1:11" x14ac:dyDescent="0.2">
      <c r="A46" s="10">
        <v>45</v>
      </c>
      <c r="B46" s="10" t="s">
        <v>84</v>
      </c>
      <c r="C46" s="10" t="s">
        <v>85</v>
      </c>
      <c r="D46" s="10">
        <v>12.5</v>
      </c>
      <c r="E46" s="10">
        <v>180</v>
      </c>
      <c r="F46" s="10" t="s">
        <v>86</v>
      </c>
      <c r="G46" s="11">
        <v>50.610053000000001</v>
      </c>
      <c r="H46" s="11">
        <v>-2.1452230000000001</v>
      </c>
      <c r="I46" s="11">
        <v>50.583454000000003</v>
      </c>
      <c r="J46" s="11">
        <v>-2.0351300000000001</v>
      </c>
      <c r="K46" s="10" t="s">
        <v>32</v>
      </c>
    </row>
    <row r="47" spans="1:11" x14ac:dyDescent="0.2">
      <c r="A47" s="12" t="s">
        <v>87</v>
      </c>
      <c r="B47" s="12" t="s">
        <v>81</v>
      </c>
      <c r="C47" s="12" t="s">
        <v>88</v>
      </c>
      <c r="D47" s="12">
        <v>22</v>
      </c>
      <c r="E47" s="12">
        <v>510</v>
      </c>
      <c r="F47" s="12" t="s">
        <v>48</v>
      </c>
      <c r="G47" s="13">
        <v>50.582999999999998</v>
      </c>
      <c r="H47" s="13">
        <v>-2.4712000000000001</v>
      </c>
      <c r="I47" s="13">
        <v>50.582999999999998</v>
      </c>
      <c r="J47" s="13">
        <v>-2.4712000000000001</v>
      </c>
      <c r="K47" s="12" t="s">
        <v>89</v>
      </c>
    </row>
    <row r="48" spans="1:11" x14ac:dyDescent="0.2">
      <c r="A48" s="12" t="s">
        <v>90</v>
      </c>
      <c r="B48" s="12" t="s">
        <v>83</v>
      </c>
      <c r="C48" s="12" t="s">
        <v>91</v>
      </c>
      <c r="D48" s="12"/>
      <c r="E48" s="12"/>
      <c r="F48" s="12"/>
      <c r="G48" s="13">
        <v>50.618299999999998</v>
      </c>
      <c r="H48" s="13">
        <v>-2.2469000000000001</v>
      </c>
      <c r="I48" s="13"/>
      <c r="J48" s="13"/>
      <c r="K48" s="12" t="s">
        <v>92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8"/>
  <sheetViews>
    <sheetView tabSelected="1" zoomScaleNormal="100" workbookViewId="0">
      <pane ySplit="2" topLeftCell="A3" activePane="bottomLeft" state="frozen"/>
      <selection pane="bottomLeft" activeCell="I54" sqref="I54"/>
    </sheetView>
  </sheetViews>
  <sheetFormatPr baseColWidth="10" defaultColWidth="8.6640625" defaultRowHeight="15" x14ac:dyDescent="0.2"/>
  <cols>
    <col min="1" max="1" width="7" customWidth="1"/>
    <col min="2" max="2" width="10" customWidth="1"/>
    <col min="3" max="3" width="12" customWidth="1"/>
    <col min="4" max="4" width="22" customWidth="1"/>
    <col min="5" max="5" width="30" customWidth="1"/>
    <col min="6" max="6" width="20" customWidth="1"/>
    <col min="7" max="7" width="12" customWidth="1"/>
    <col min="8" max="9" width="10" customWidth="1"/>
    <col min="10" max="10" width="16" bestFit="1" customWidth="1"/>
    <col min="11" max="14" width="11" customWidth="1"/>
    <col min="15" max="15" width="35" customWidth="1"/>
    <col min="16" max="16" width="30" customWidth="1"/>
  </cols>
  <sheetData>
    <row r="2" spans="1:16" ht="30" customHeight="1" x14ac:dyDescent="0.2">
      <c r="A2" s="14" t="s">
        <v>93</v>
      </c>
      <c r="B2" s="14" t="s">
        <v>94</v>
      </c>
      <c r="C2" s="14" t="s">
        <v>95</v>
      </c>
      <c r="D2" s="8" t="s">
        <v>19</v>
      </c>
      <c r="E2" s="8" t="s">
        <v>20</v>
      </c>
      <c r="F2" s="14" t="s">
        <v>96</v>
      </c>
      <c r="G2" s="8" t="s">
        <v>21</v>
      </c>
      <c r="H2" s="8" t="s">
        <v>22</v>
      </c>
      <c r="I2" s="8" t="s">
        <v>97</v>
      </c>
      <c r="J2" s="14" t="s">
        <v>98</v>
      </c>
      <c r="K2" s="8" t="s">
        <v>24</v>
      </c>
      <c r="L2" s="8" t="s">
        <v>25</v>
      </c>
      <c r="M2" s="8" t="s">
        <v>26</v>
      </c>
      <c r="N2" s="8" t="s">
        <v>27</v>
      </c>
      <c r="O2" s="14" t="s">
        <v>28</v>
      </c>
      <c r="P2" s="14" t="s">
        <v>99</v>
      </c>
    </row>
    <row r="3" spans="1:16" ht="15" customHeight="1" x14ac:dyDescent="0.2">
      <c r="A3" s="15"/>
      <c r="B3" s="15"/>
      <c r="C3" s="15"/>
      <c r="D3" s="10" t="s">
        <v>29</v>
      </c>
      <c r="E3" s="10" t="s">
        <v>30</v>
      </c>
      <c r="F3" s="10">
        <v>1</v>
      </c>
      <c r="G3" s="10">
        <v>16</v>
      </c>
      <c r="H3" s="10">
        <v>620</v>
      </c>
      <c r="I3" s="10"/>
      <c r="J3" s="15"/>
      <c r="K3" s="11">
        <v>51.211036</v>
      </c>
      <c r="L3" s="11">
        <v>-3.4735809999999998</v>
      </c>
      <c r="M3" s="11">
        <v>51.221941000000001</v>
      </c>
      <c r="N3" s="11">
        <v>-3.6392340000000001</v>
      </c>
      <c r="O3" s="15" t="s">
        <v>101</v>
      </c>
      <c r="P3" s="15" t="s">
        <v>102</v>
      </c>
    </row>
    <row r="4" spans="1:16" ht="15" customHeight="1" x14ac:dyDescent="0.2">
      <c r="A4" s="15"/>
      <c r="B4" s="15"/>
      <c r="C4" s="15"/>
      <c r="D4" s="10" t="s">
        <v>30</v>
      </c>
      <c r="E4" s="10" t="s">
        <v>33</v>
      </c>
      <c r="F4" s="10">
        <v>2</v>
      </c>
      <c r="G4" s="10">
        <v>18</v>
      </c>
      <c r="H4" s="10">
        <v>1200</v>
      </c>
      <c r="I4" s="10"/>
      <c r="J4" s="15"/>
      <c r="K4" s="11">
        <v>51.221941000000001</v>
      </c>
      <c r="L4" s="11">
        <v>-3.6392340000000001</v>
      </c>
      <c r="M4" s="11">
        <v>51.231287999999999</v>
      </c>
      <c r="N4" s="11">
        <v>-3.823553</v>
      </c>
      <c r="O4" s="15" t="s">
        <v>103</v>
      </c>
      <c r="P4" s="15"/>
    </row>
    <row r="5" spans="1:16" ht="15" customHeight="1" x14ac:dyDescent="0.2">
      <c r="A5" s="15"/>
      <c r="B5" s="15"/>
      <c r="C5" s="15"/>
      <c r="D5" s="10" t="s">
        <v>33</v>
      </c>
      <c r="E5" s="10" t="s">
        <v>35</v>
      </c>
      <c r="F5" s="10">
        <v>3</v>
      </c>
      <c r="G5" s="10">
        <v>21.5</v>
      </c>
      <c r="H5" s="10">
        <v>1330</v>
      </c>
      <c r="I5" s="10"/>
      <c r="J5" s="15"/>
      <c r="K5" s="11">
        <v>51.231287999999999</v>
      </c>
      <c r="L5" s="11">
        <v>-3.823553</v>
      </c>
      <c r="M5" s="11">
        <v>51.209730999999998</v>
      </c>
      <c r="N5" s="11">
        <v>-4.0383849999999999</v>
      </c>
      <c r="O5" s="15" t="s">
        <v>104</v>
      </c>
      <c r="P5" s="15"/>
    </row>
    <row r="6" spans="1:16" ht="15" customHeight="1" x14ac:dyDescent="0.2">
      <c r="A6" s="15"/>
      <c r="B6" s="15"/>
      <c r="C6" s="15"/>
      <c r="D6" s="10" t="s">
        <v>35</v>
      </c>
      <c r="E6" s="10" t="s">
        <v>37</v>
      </c>
      <c r="F6" s="10">
        <v>4</v>
      </c>
      <c r="G6" s="10">
        <v>23.5</v>
      </c>
      <c r="H6" s="10">
        <v>1020</v>
      </c>
      <c r="I6" s="10"/>
      <c r="J6" s="15"/>
      <c r="K6" s="11">
        <v>51.209730999999998</v>
      </c>
      <c r="L6" s="11">
        <v>-4.0383849999999999</v>
      </c>
      <c r="M6" s="11">
        <v>51.168188000000001</v>
      </c>
      <c r="N6" s="11">
        <v>-4.2064859999999999</v>
      </c>
      <c r="O6" s="15"/>
      <c r="P6" s="15"/>
    </row>
    <row r="7" spans="1:16" ht="15" customHeight="1" x14ac:dyDescent="0.2">
      <c r="A7" s="15"/>
      <c r="B7" s="15"/>
      <c r="C7" s="15"/>
      <c r="D7" s="10" t="s">
        <v>37</v>
      </c>
      <c r="E7" s="10" t="s">
        <v>38</v>
      </c>
      <c r="F7" s="10">
        <v>5</v>
      </c>
      <c r="G7" s="10">
        <v>23.5</v>
      </c>
      <c r="H7" s="10">
        <v>430</v>
      </c>
      <c r="I7" s="10"/>
      <c r="J7" s="15"/>
      <c r="K7" s="11">
        <v>51.168188000000001</v>
      </c>
      <c r="L7" s="11">
        <v>-4.2064859999999999</v>
      </c>
      <c r="M7" s="11">
        <v>51.096347999999999</v>
      </c>
      <c r="N7" s="11">
        <v>-4.1554260000000003</v>
      </c>
      <c r="O7" s="15" t="s">
        <v>105</v>
      </c>
      <c r="P7" s="15"/>
    </row>
    <row r="8" spans="1:16" x14ac:dyDescent="0.2">
      <c r="D8" s="10" t="s">
        <v>38</v>
      </c>
      <c r="E8" s="10" t="s">
        <v>39</v>
      </c>
      <c r="F8" s="10">
        <v>6</v>
      </c>
      <c r="G8" s="10">
        <v>37.5</v>
      </c>
      <c r="H8" s="10">
        <v>250</v>
      </c>
      <c r="I8" s="10"/>
      <c r="K8" s="11">
        <v>51.096347999999999</v>
      </c>
      <c r="L8" s="11">
        <v>-4.1554260000000003</v>
      </c>
      <c r="M8" s="11">
        <v>51.035091000000001</v>
      </c>
      <c r="N8" s="11">
        <v>-4.2602710000000004</v>
      </c>
    </row>
    <row r="9" spans="1:16" x14ac:dyDescent="0.2">
      <c r="D9" s="10" t="s">
        <v>39</v>
      </c>
      <c r="E9" s="10" t="s">
        <v>41</v>
      </c>
      <c r="F9" s="10">
        <v>7</v>
      </c>
      <c r="G9" s="10">
        <v>18.5</v>
      </c>
      <c r="H9" s="10">
        <v>980</v>
      </c>
      <c r="I9" s="10"/>
      <c r="K9" s="11">
        <v>51.035091000000001</v>
      </c>
      <c r="L9" s="11">
        <v>-4.2602710000000004</v>
      </c>
      <c r="M9" s="11">
        <v>51.010393000000001</v>
      </c>
      <c r="N9" s="11">
        <v>-4.4180099999999998</v>
      </c>
    </row>
    <row r="10" spans="1:16" x14ac:dyDescent="0.2">
      <c r="D10" s="10" t="s">
        <v>41</v>
      </c>
      <c r="E10" s="10" t="s">
        <v>42</v>
      </c>
      <c r="F10" s="10">
        <v>8</v>
      </c>
      <c r="G10" s="10">
        <v>16.5</v>
      </c>
      <c r="H10" s="10">
        <v>1000</v>
      </c>
      <c r="I10" s="10"/>
      <c r="K10" s="11">
        <v>51.010393000000001</v>
      </c>
      <c r="L10" s="11">
        <v>-4.4180099999999998</v>
      </c>
      <c r="M10" s="11">
        <v>50.977232999999998</v>
      </c>
      <c r="N10" s="11">
        <v>-4.5315570000000003</v>
      </c>
    </row>
    <row r="11" spans="1:16" x14ac:dyDescent="0.2">
      <c r="D11" s="10" t="s">
        <v>42</v>
      </c>
      <c r="E11" s="10" t="s">
        <v>43</v>
      </c>
      <c r="F11" s="10">
        <v>9</v>
      </c>
      <c r="G11" s="10">
        <v>24.5</v>
      </c>
      <c r="H11" s="10">
        <v>1390</v>
      </c>
      <c r="I11" s="10"/>
      <c r="K11" s="11">
        <v>50.977232999999998</v>
      </c>
      <c r="L11" s="11">
        <v>-4.5315570000000003</v>
      </c>
      <c r="M11" s="11">
        <v>50.808801000000003</v>
      </c>
      <c r="N11" s="11">
        <v>-4.5555310000000002</v>
      </c>
    </row>
    <row r="12" spans="1:16" x14ac:dyDescent="0.2">
      <c r="D12" s="10" t="s">
        <v>43</v>
      </c>
      <c r="E12" s="10" t="s">
        <v>45</v>
      </c>
      <c r="F12" s="10">
        <v>10</v>
      </c>
      <c r="G12" s="10">
        <v>27</v>
      </c>
      <c r="H12" s="10">
        <v>1380</v>
      </c>
      <c r="I12" s="10"/>
      <c r="K12" s="11">
        <v>50.808801000000003</v>
      </c>
      <c r="L12" s="11">
        <v>-4.5555310000000002</v>
      </c>
      <c r="M12" s="11">
        <v>50.678718000000003</v>
      </c>
      <c r="N12" s="11">
        <v>-4.7267849999999996</v>
      </c>
    </row>
    <row r="13" spans="1:16" x14ac:dyDescent="0.2">
      <c r="D13" s="10" t="s">
        <v>45</v>
      </c>
      <c r="E13" s="10" t="s">
        <v>47</v>
      </c>
      <c r="F13" s="10">
        <v>11</v>
      </c>
      <c r="G13" s="10">
        <v>22</v>
      </c>
      <c r="H13" s="10">
        <v>1250</v>
      </c>
      <c r="I13" s="10"/>
      <c r="K13" s="11">
        <v>50.678718000000003</v>
      </c>
      <c r="L13" s="11">
        <v>-4.7267849999999996</v>
      </c>
      <c r="M13" s="11">
        <v>50.594468999999997</v>
      </c>
      <c r="N13" s="11">
        <v>-4.8686160000000003</v>
      </c>
    </row>
    <row r="14" spans="1:16" x14ac:dyDescent="0.2">
      <c r="D14" s="10" t="s">
        <v>47</v>
      </c>
      <c r="E14" s="10" t="s">
        <v>49</v>
      </c>
      <c r="F14" s="10">
        <v>12</v>
      </c>
      <c r="G14" s="10">
        <v>19</v>
      </c>
      <c r="H14" s="10">
        <v>920</v>
      </c>
      <c r="I14" s="10"/>
      <c r="K14" s="11">
        <v>50.594468999999997</v>
      </c>
      <c r="L14" s="11">
        <v>-4.8686160000000003</v>
      </c>
      <c r="M14" s="11">
        <v>50.562538000000004</v>
      </c>
      <c r="N14" s="11">
        <v>-4.9472529999999999</v>
      </c>
    </row>
    <row r="15" spans="1:16" x14ac:dyDescent="0.2">
      <c r="D15" s="10" t="s">
        <v>49</v>
      </c>
      <c r="E15" s="10" t="s">
        <v>51</v>
      </c>
      <c r="F15" s="10">
        <v>13</v>
      </c>
      <c r="G15" s="10">
        <v>22</v>
      </c>
      <c r="H15" s="10">
        <v>640</v>
      </c>
      <c r="I15" s="10"/>
      <c r="K15" s="11">
        <v>50.562538000000004</v>
      </c>
      <c r="L15" s="11">
        <v>-4.9472529999999999</v>
      </c>
      <c r="M15" s="11">
        <v>50.482123000000001</v>
      </c>
      <c r="N15" s="11">
        <v>-5.0334969999999997</v>
      </c>
    </row>
    <row r="16" spans="1:16" x14ac:dyDescent="0.2">
      <c r="D16" s="10" t="s">
        <v>51</v>
      </c>
      <c r="E16" s="10" t="s">
        <v>52</v>
      </c>
      <c r="F16" s="10">
        <v>14</v>
      </c>
      <c r="G16" s="10">
        <v>18</v>
      </c>
      <c r="H16" s="10">
        <v>670</v>
      </c>
      <c r="I16" s="10"/>
      <c r="K16" s="11">
        <v>50.482123000000001</v>
      </c>
      <c r="L16" s="11">
        <v>-5.0334969999999997</v>
      </c>
      <c r="M16" s="11">
        <v>50.410246999999998</v>
      </c>
      <c r="N16" s="11">
        <v>-5.1076579999999998</v>
      </c>
    </row>
    <row r="17" spans="4:14" x14ac:dyDescent="0.2">
      <c r="D17" s="10" t="s">
        <v>52</v>
      </c>
      <c r="E17" s="10" t="s">
        <v>53</v>
      </c>
      <c r="F17" s="10">
        <v>15</v>
      </c>
      <c r="G17" s="10">
        <v>18</v>
      </c>
      <c r="H17" s="10">
        <v>580</v>
      </c>
      <c r="I17" s="10"/>
      <c r="J17" t="s">
        <v>100</v>
      </c>
      <c r="K17" s="11">
        <v>50.410246999999998</v>
      </c>
      <c r="L17" s="11">
        <v>-5.1076579999999998</v>
      </c>
      <c r="M17" s="11">
        <v>50.345984000000001</v>
      </c>
      <c r="N17" s="11">
        <v>-5.1548749999999997</v>
      </c>
    </row>
    <row r="18" spans="4:14" x14ac:dyDescent="0.2">
      <c r="D18" s="10" t="s">
        <v>53</v>
      </c>
      <c r="E18" s="10" t="s">
        <v>54</v>
      </c>
      <c r="F18" s="10">
        <v>16</v>
      </c>
      <c r="G18" s="10">
        <v>19.5</v>
      </c>
      <c r="H18" s="10">
        <v>880</v>
      </c>
      <c r="I18" s="10"/>
      <c r="J18" t="s">
        <v>100</v>
      </c>
      <c r="K18" s="11">
        <v>50.345984000000001</v>
      </c>
      <c r="L18" s="11">
        <v>-5.1548749999999997</v>
      </c>
      <c r="M18" s="11">
        <v>50.260809999999999</v>
      </c>
      <c r="N18" s="11">
        <v>-5.2952300000000001</v>
      </c>
    </row>
    <row r="19" spans="4:14" x14ac:dyDescent="0.2">
      <c r="D19" s="10" t="s">
        <v>54</v>
      </c>
      <c r="E19" s="10" t="s">
        <v>55</v>
      </c>
      <c r="F19" s="10">
        <v>17</v>
      </c>
      <c r="G19" s="10">
        <v>29</v>
      </c>
      <c r="H19" s="10">
        <v>810</v>
      </c>
      <c r="I19" s="10"/>
      <c r="J19" t="s">
        <v>185</v>
      </c>
      <c r="K19" s="11">
        <v>50.260809999999999</v>
      </c>
      <c r="L19" s="11">
        <v>-5.2952300000000001</v>
      </c>
      <c r="M19" s="11">
        <v>50.216527999999997</v>
      </c>
      <c r="N19" s="11">
        <v>-5.4787939999999997</v>
      </c>
    </row>
    <row r="20" spans="4:14" x14ac:dyDescent="0.2">
      <c r="D20" s="10" t="s">
        <v>55</v>
      </c>
      <c r="E20" s="10" t="s">
        <v>56</v>
      </c>
      <c r="F20" s="10">
        <v>18</v>
      </c>
      <c r="G20" s="10">
        <v>21.5</v>
      </c>
      <c r="H20" s="10">
        <v>1100</v>
      </c>
      <c r="I20" s="10"/>
      <c r="J20" t="s">
        <v>100</v>
      </c>
      <c r="K20" s="11">
        <v>50.216527999999997</v>
      </c>
      <c r="L20" s="11">
        <v>-5.4787939999999997</v>
      </c>
      <c r="M20" s="11">
        <v>50.158791000000001</v>
      </c>
      <c r="N20" s="11">
        <v>-5.6771710000000004</v>
      </c>
    </row>
    <row r="21" spans="4:14" x14ac:dyDescent="0.2">
      <c r="D21" s="10" t="s">
        <v>56</v>
      </c>
      <c r="E21" s="10" t="s">
        <v>57</v>
      </c>
      <c r="F21" s="10">
        <v>19</v>
      </c>
      <c r="G21" s="10">
        <v>25</v>
      </c>
      <c r="H21" s="10">
        <v>900</v>
      </c>
      <c r="I21" s="10"/>
      <c r="J21" t="s">
        <v>100</v>
      </c>
      <c r="K21" s="11">
        <v>50.158791000000001</v>
      </c>
      <c r="L21" s="11">
        <v>-5.6771710000000004</v>
      </c>
      <c r="M21" s="11">
        <v>50.044763000000003</v>
      </c>
      <c r="N21" s="11">
        <v>-5.634531</v>
      </c>
    </row>
    <row r="22" spans="4:14" x14ac:dyDescent="0.2">
      <c r="D22" s="10" t="s">
        <v>57</v>
      </c>
      <c r="E22" s="10" t="s">
        <v>58</v>
      </c>
      <c r="F22" s="10">
        <v>20</v>
      </c>
      <c r="G22" s="10">
        <v>18.5</v>
      </c>
      <c r="H22" s="10">
        <v>550</v>
      </c>
      <c r="I22" s="10"/>
      <c r="J22" t="s">
        <v>100</v>
      </c>
      <c r="K22" s="11">
        <v>50.044763000000003</v>
      </c>
      <c r="L22" s="11">
        <v>-5.634531</v>
      </c>
      <c r="M22" s="11">
        <v>50.127651999999998</v>
      </c>
      <c r="N22" s="11">
        <v>-5.511552</v>
      </c>
    </row>
    <row r="23" spans="4:14" x14ac:dyDescent="0.2">
      <c r="D23" s="10" t="s">
        <v>58</v>
      </c>
      <c r="E23" s="10" t="s">
        <v>60</v>
      </c>
      <c r="F23" s="10">
        <v>21</v>
      </c>
      <c r="G23" s="10">
        <v>22</v>
      </c>
      <c r="H23" s="10">
        <v>790</v>
      </c>
      <c r="I23" s="10"/>
      <c r="J23" t="s">
        <v>100</v>
      </c>
      <c r="K23" s="11">
        <v>50.127651999999998</v>
      </c>
      <c r="L23" s="11">
        <v>-5.511552</v>
      </c>
      <c r="M23" s="11">
        <v>50.075271999999998</v>
      </c>
      <c r="N23" s="11">
        <v>-5.3012230000000002</v>
      </c>
    </row>
    <row r="24" spans="4:14" x14ac:dyDescent="0.2">
      <c r="D24" s="10" t="s">
        <v>60</v>
      </c>
      <c r="E24" s="10" t="s">
        <v>61</v>
      </c>
      <c r="F24" s="10">
        <v>22</v>
      </c>
      <c r="G24" s="10">
        <v>22</v>
      </c>
      <c r="H24" s="10">
        <v>760</v>
      </c>
      <c r="I24" s="10"/>
      <c r="J24" t="s">
        <v>100</v>
      </c>
      <c r="K24" s="11">
        <v>50.075271999999998</v>
      </c>
      <c r="L24" s="11">
        <v>-5.3012230000000002</v>
      </c>
      <c r="M24" s="11">
        <v>49.964162999999999</v>
      </c>
      <c r="N24" s="11">
        <v>-5.1896950000000004</v>
      </c>
    </row>
    <row r="25" spans="4:14" x14ac:dyDescent="0.2">
      <c r="D25" s="10" t="s">
        <v>61</v>
      </c>
      <c r="E25" s="10" t="s">
        <v>62</v>
      </c>
      <c r="F25" s="10">
        <v>23</v>
      </c>
      <c r="G25" s="10">
        <v>24.5</v>
      </c>
      <c r="H25" s="10">
        <v>900</v>
      </c>
      <c r="I25" s="10"/>
      <c r="K25" s="11">
        <v>49.964162999999999</v>
      </c>
      <c r="L25" s="11">
        <v>-5.1896950000000004</v>
      </c>
      <c r="M25" s="11">
        <v>50.076968999999998</v>
      </c>
      <c r="N25" s="11">
        <v>-5.0799940000000001</v>
      </c>
    </row>
    <row r="26" spans="4:14" x14ac:dyDescent="0.2">
      <c r="D26" s="10" t="s">
        <v>62</v>
      </c>
      <c r="E26" s="10" t="s">
        <v>63</v>
      </c>
      <c r="F26" s="10">
        <v>24</v>
      </c>
      <c r="G26" s="10">
        <v>26</v>
      </c>
      <c r="H26" s="10">
        <v>770</v>
      </c>
      <c r="I26" s="10"/>
      <c r="K26" s="11">
        <v>50.076968999999998</v>
      </c>
      <c r="L26" s="11">
        <v>-5.0799940000000001</v>
      </c>
      <c r="M26" s="11">
        <v>50.149169999999998</v>
      </c>
      <c r="N26" s="11">
        <v>-5.0477210000000001</v>
      </c>
    </row>
    <row r="27" spans="4:14" x14ac:dyDescent="0.2">
      <c r="D27" s="10" t="s">
        <v>63</v>
      </c>
      <c r="E27" s="10" t="s">
        <v>64</v>
      </c>
      <c r="F27" s="10">
        <v>25</v>
      </c>
      <c r="G27" s="10">
        <v>22</v>
      </c>
      <c r="H27" s="10">
        <v>860</v>
      </c>
      <c r="I27" s="10"/>
      <c r="J27" t="s">
        <v>100</v>
      </c>
      <c r="K27" s="11">
        <v>50.149169999999998</v>
      </c>
      <c r="L27" s="11">
        <v>-5.0477210000000001</v>
      </c>
      <c r="M27" s="11">
        <v>50.207742000000003</v>
      </c>
      <c r="N27" s="11">
        <v>-4.9410689999999997</v>
      </c>
    </row>
    <row r="28" spans="4:14" x14ac:dyDescent="0.2">
      <c r="D28" s="10" t="s">
        <v>64</v>
      </c>
      <c r="E28" s="10" t="s">
        <v>65</v>
      </c>
      <c r="F28" s="10">
        <v>26</v>
      </c>
      <c r="G28" s="10">
        <v>19.5</v>
      </c>
      <c r="H28" s="10">
        <v>890</v>
      </c>
      <c r="I28" s="10"/>
      <c r="J28" t="s">
        <v>100</v>
      </c>
      <c r="K28" s="11">
        <v>50.207742000000003</v>
      </c>
      <c r="L28" s="11">
        <v>-4.9410689999999997</v>
      </c>
      <c r="M28" s="11">
        <v>50.237527</v>
      </c>
      <c r="N28" s="11">
        <v>-4.7817600000000002</v>
      </c>
    </row>
    <row r="29" spans="4:14" x14ac:dyDescent="0.2">
      <c r="D29" s="10" t="s">
        <v>65</v>
      </c>
      <c r="E29" s="10" t="s">
        <v>66</v>
      </c>
      <c r="F29" s="10">
        <v>27</v>
      </c>
      <c r="G29" s="10">
        <v>19</v>
      </c>
      <c r="H29" s="10">
        <v>690</v>
      </c>
      <c r="I29" s="10"/>
      <c r="J29" t="s">
        <v>100</v>
      </c>
      <c r="K29" s="11">
        <v>50.237527</v>
      </c>
      <c r="L29" s="11">
        <v>-4.7817600000000002</v>
      </c>
      <c r="M29" s="11">
        <v>50.335408000000001</v>
      </c>
      <c r="N29" s="11">
        <v>-4.7399589999999998</v>
      </c>
    </row>
    <row r="30" spans="4:14" x14ac:dyDescent="0.2">
      <c r="D30" s="10" t="s">
        <v>66</v>
      </c>
      <c r="E30" s="10" t="s">
        <v>67</v>
      </c>
      <c r="F30" s="10">
        <v>28</v>
      </c>
      <c r="G30" s="10">
        <v>21</v>
      </c>
      <c r="H30" s="10">
        <v>940</v>
      </c>
      <c r="I30" s="10"/>
      <c r="J30" t="s">
        <v>100</v>
      </c>
      <c r="K30" s="11">
        <v>50.335408000000001</v>
      </c>
      <c r="L30" s="11">
        <v>-4.7399589999999998</v>
      </c>
      <c r="M30" s="11">
        <v>50.332191000000002</v>
      </c>
      <c r="N30" s="11">
        <v>-4.5860089999999998</v>
      </c>
    </row>
    <row r="31" spans="4:14" x14ac:dyDescent="0.2">
      <c r="D31" s="10" t="s">
        <v>67</v>
      </c>
      <c r="E31" s="10" t="s">
        <v>68</v>
      </c>
      <c r="F31" s="10">
        <v>29</v>
      </c>
      <c r="G31" s="10">
        <v>21</v>
      </c>
      <c r="H31" s="10">
        <v>860</v>
      </c>
      <c r="I31" s="10"/>
      <c r="J31" t="s">
        <v>100</v>
      </c>
      <c r="K31" s="11">
        <v>50.332191000000002</v>
      </c>
      <c r="L31" s="11">
        <v>-4.5860089999999998</v>
      </c>
      <c r="M31" s="11">
        <v>50.362372000000001</v>
      </c>
      <c r="N31" s="11">
        <v>-4.3728769999999999</v>
      </c>
    </row>
    <row r="32" spans="4:14" x14ac:dyDescent="0.2">
      <c r="D32" s="10" t="s">
        <v>68</v>
      </c>
      <c r="E32" s="10" t="s">
        <v>69</v>
      </c>
      <c r="F32" s="10">
        <v>30</v>
      </c>
      <c r="G32" s="10">
        <v>20.5</v>
      </c>
      <c r="H32" s="10">
        <v>700</v>
      </c>
      <c r="I32" s="10"/>
      <c r="J32" t="s">
        <v>100</v>
      </c>
      <c r="K32" s="11">
        <v>50.362372000000001</v>
      </c>
      <c r="L32" s="11">
        <v>-4.3728769999999999</v>
      </c>
      <c r="M32" s="11">
        <v>50.333311999999999</v>
      </c>
      <c r="N32" s="11">
        <v>-4.2013949999999998</v>
      </c>
    </row>
    <row r="33" spans="4:14" x14ac:dyDescent="0.2">
      <c r="D33" s="10" t="s">
        <v>69</v>
      </c>
      <c r="E33" s="10" t="s">
        <v>70</v>
      </c>
      <c r="F33" s="10">
        <v>31</v>
      </c>
      <c r="G33" s="10">
        <v>23</v>
      </c>
      <c r="H33" s="10">
        <v>440</v>
      </c>
      <c r="I33" s="10"/>
      <c r="J33" t="s">
        <v>100</v>
      </c>
      <c r="K33" s="11">
        <v>50.333311999999999</v>
      </c>
      <c r="L33" s="11">
        <v>-4.2013949999999998</v>
      </c>
      <c r="M33" s="11">
        <v>50.337277</v>
      </c>
      <c r="N33" s="11">
        <v>-4.1237899999999996</v>
      </c>
    </row>
    <row r="34" spans="4:14" x14ac:dyDescent="0.2">
      <c r="D34" s="10" t="s">
        <v>70</v>
      </c>
      <c r="E34" s="10" t="s">
        <v>71</v>
      </c>
      <c r="F34" s="10">
        <v>32</v>
      </c>
      <c r="G34" s="10">
        <v>25</v>
      </c>
      <c r="H34" s="10">
        <v>920</v>
      </c>
      <c r="I34" s="10"/>
      <c r="K34" s="11">
        <v>50.337277</v>
      </c>
      <c r="L34" s="11">
        <v>-4.1237899999999996</v>
      </c>
      <c r="M34" s="11">
        <v>50.297545999999997</v>
      </c>
      <c r="N34" s="11">
        <v>-3.9423569999999999</v>
      </c>
    </row>
    <row r="35" spans="4:14" x14ac:dyDescent="0.2">
      <c r="D35" s="10" t="s">
        <v>71</v>
      </c>
      <c r="E35" s="10" t="s">
        <v>72</v>
      </c>
      <c r="F35" s="10">
        <v>33</v>
      </c>
      <c r="G35" s="10">
        <v>21.5</v>
      </c>
      <c r="H35" s="10">
        <v>720</v>
      </c>
      <c r="I35" s="10"/>
      <c r="K35" s="11">
        <v>50.297545999999997</v>
      </c>
      <c r="L35" s="11">
        <v>-3.9423569999999999</v>
      </c>
      <c r="M35" s="11">
        <v>50.213405000000002</v>
      </c>
      <c r="N35" s="11">
        <v>-3.7880120000000002</v>
      </c>
    </row>
    <row r="36" spans="4:14" x14ac:dyDescent="0.2">
      <c r="D36" s="10" t="s">
        <v>72</v>
      </c>
      <c r="E36" s="10" t="s">
        <v>73</v>
      </c>
      <c r="F36" s="10">
        <v>34</v>
      </c>
      <c r="G36" s="10">
        <v>29.5</v>
      </c>
      <c r="H36" s="10">
        <v>1100</v>
      </c>
      <c r="I36" s="10"/>
      <c r="K36" s="11">
        <v>50.213405000000002</v>
      </c>
      <c r="L36" s="11">
        <v>-3.7880120000000002</v>
      </c>
      <c r="M36" s="11">
        <v>50.309409000000002</v>
      </c>
      <c r="N36" s="11">
        <v>-3.6294490000000001</v>
      </c>
    </row>
    <row r="37" spans="4:14" x14ac:dyDescent="0.2">
      <c r="D37" s="10" t="s">
        <v>73</v>
      </c>
      <c r="E37" s="10" t="s">
        <v>74</v>
      </c>
      <c r="F37" s="10">
        <v>35</v>
      </c>
      <c r="G37" s="10">
        <v>25</v>
      </c>
      <c r="H37" s="10">
        <v>1300</v>
      </c>
      <c r="I37" s="10"/>
      <c r="K37" s="11">
        <v>50.309409000000002</v>
      </c>
      <c r="L37" s="11">
        <v>-3.6294490000000001</v>
      </c>
      <c r="M37" s="11">
        <v>50.392091000000001</v>
      </c>
      <c r="N37" s="11">
        <v>-3.495463</v>
      </c>
    </row>
    <row r="38" spans="4:14" x14ac:dyDescent="0.2">
      <c r="D38" s="10" t="s">
        <v>74</v>
      </c>
      <c r="E38" s="10" t="s">
        <v>75</v>
      </c>
      <c r="F38" s="10">
        <v>36</v>
      </c>
      <c r="G38" s="10">
        <v>31</v>
      </c>
      <c r="H38" s="10">
        <v>1300</v>
      </c>
      <c r="I38" s="10"/>
      <c r="J38" t="s">
        <v>185</v>
      </c>
      <c r="K38" s="11">
        <v>50.392091000000001</v>
      </c>
      <c r="L38" s="11">
        <v>-3.495463</v>
      </c>
      <c r="M38" s="11">
        <v>50.523716</v>
      </c>
      <c r="N38" s="11">
        <v>-3.507387</v>
      </c>
    </row>
    <row r="39" spans="4:14" x14ac:dyDescent="0.2">
      <c r="D39" s="10" t="s">
        <v>75</v>
      </c>
      <c r="E39" s="10" t="s">
        <v>77</v>
      </c>
      <c r="F39" s="10">
        <v>37</v>
      </c>
      <c r="G39" s="10">
        <v>22</v>
      </c>
      <c r="H39" s="10">
        <v>470</v>
      </c>
      <c r="I39" s="10"/>
      <c r="J39" t="s">
        <v>100</v>
      </c>
      <c r="K39" s="11">
        <v>50.523716</v>
      </c>
      <c r="L39" s="11">
        <v>-3.507387</v>
      </c>
      <c r="M39" s="11">
        <v>50.610303000000002</v>
      </c>
      <c r="N39" s="11">
        <v>-3.3678560000000002</v>
      </c>
    </row>
    <row r="40" spans="4:14" x14ac:dyDescent="0.2">
      <c r="D40" s="10" t="s">
        <v>77</v>
      </c>
      <c r="E40" s="10" t="s">
        <v>78</v>
      </c>
      <c r="F40" s="10">
        <v>38</v>
      </c>
      <c r="G40" s="10">
        <v>27.5</v>
      </c>
      <c r="H40" s="10">
        <v>1160</v>
      </c>
      <c r="I40" s="10"/>
      <c r="K40" s="11">
        <v>50.610303000000002</v>
      </c>
      <c r="L40" s="11">
        <v>-3.3678560000000002</v>
      </c>
      <c r="M40" s="11">
        <v>50.686432000000003</v>
      </c>
      <c r="N40" s="11">
        <v>-3.0998450000000002</v>
      </c>
    </row>
    <row r="41" spans="4:14" x14ac:dyDescent="0.2">
      <c r="D41" s="10" t="s">
        <v>78</v>
      </c>
      <c r="E41" s="10" t="s">
        <v>79</v>
      </c>
      <c r="F41" s="10">
        <v>39</v>
      </c>
      <c r="G41" s="10">
        <v>24.5</v>
      </c>
      <c r="H41" s="10">
        <v>920</v>
      </c>
      <c r="I41" s="10"/>
      <c r="K41" s="11">
        <v>50.686432000000003</v>
      </c>
      <c r="L41" s="11">
        <v>-3.0998450000000002</v>
      </c>
      <c r="M41" s="11">
        <v>50.730193</v>
      </c>
      <c r="N41" s="11">
        <v>-2.8597299999999999</v>
      </c>
    </row>
    <row r="42" spans="4:14" x14ac:dyDescent="0.2">
      <c r="D42" s="10" t="s">
        <v>79</v>
      </c>
      <c r="E42" s="10" t="s">
        <v>80</v>
      </c>
      <c r="F42" s="10">
        <v>40</v>
      </c>
      <c r="G42" s="10">
        <v>19.5</v>
      </c>
      <c r="H42" s="10">
        <v>360</v>
      </c>
      <c r="I42" s="10"/>
      <c r="K42" s="11">
        <v>50.730193</v>
      </c>
      <c r="L42" s="11">
        <v>-2.8597299999999999</v>
      </c>
      <c r="M42" s="11">
        <v>50.662159000000003</v>
      </c>
      <c r="N42" s="11">
        <v>-2.630916</v>
      </c>
    </row>
    <row r="43" spans="4:14" x14ac:dyDescent="0.2">
      <c r="D43" s="10" t="s">
        <v>80</v>
      </c>
      <c r="E43" s="10" t="s">
        <v>81</v>
      </c>
      <c r="F43" s="10">
        <v>41</v>
      </c>
      <c r="G43" s="10">
        <v>18</v>
      </c>
      <c r="H43" s="10">
        <v>250</v>
      </c>
      <c r="I43" s="10"/>
      <c r="K43" s="11">
        <v>50.662159000000003</v>
      </c>
      <c r="L43" s="11">
        <v>-2.630916</v>
      </c>
      <c r="M43" s="11">
        <v>50.582999999999998</v>
      </c>
      <c r="N43" s="11">
        <v>-2.4712000000000001</v>
      </c>
    </row>
    <row r="44" spans="4:14" x14ac:dyDescent="0.2">
      <c r="D44" s="10" t="s">
        <v>81</v>
      </c>
      <c r="E44" s="10" t="s">
        <v>83</v>
      </c>
      <c r="F44" s="10">
        <v>43</v>
      </c>
      <c r="G44" s="10">
        <v>23.5</v>
      </c>
      <c r="H44" s="10">
        <v>640</v>
      </c>
      <c r="I44" s="10"/>
      <c r="J44" t="s">
        <v>100</v>
      </c>
      <c r="K44" s="11">
        <v>50.582999999999998</v>
      </c>
      <c r="L44" s="11">
        <v>-2.4712000000000001</v>
      </c>
      <c r="M44" s="11">
        <v>50.618299999999998</v>
      </c>
      <c r="N44" s="11">
        <v>-2.2469000000000001</v>
      </c>
    </row>
    <row r="45" spans="4:14" x14ac:dyDescent="0.2">
      <c r="D45" s="10" t="s">
        <v>83</v>
      </c>
      <c r="E45" s="10" t="s">
        <v>84</v>
      </c>
      <c r="F45" s="10">
        <v>44</v>
      </c>
      <c r="G45" s="10">
        <v>33</v>
      </c>
      <c r="H45" s="10">
        <v>1340</v>
      </c>
      <c r="I45" s="10"/>
      <c r="J45" t="s">
        <v>185</v>
      </c>
      <c r="K45" s="11">
        <v>50.618299999999998</v>
      </c>
      <c r="L45" s="11">
        <v>-2.2469000000000001</v>
      </c>
      <c r="M45" s="11">
        <v>50.610053000000001</v>
      </c>
      <c r="N45" s="11">
        <v>-2.1452230000000001</v>
      </c>
    </row>
    <row r="46" spans="4:14" x14ac:dyDescent="0.2">
      <c r="D46" s="10" t="s">
        <v>84</v>
      </c>
      <c r="E46" s="10" t="s">
        <v>85</v>
      </c>
      <c r="F46" s="10">
        <v>45</v>
      </c>
      <c r="G46" s="10">
        <v>12.5</v>
      </c>
      <c r="H46" s="10">
        <v>180</v>
      </c>
      <c r="I46" s="10"/>
      <c r="K46" s="11">
        <v>50.610053000000001</v>
      </c>
      <c r="L46" s="11">
        <v>-2.1452230000000001</v>
      </c>
      <c r="M46" s="11">
        <v>50.583454000000003</v>
      </c>
      <c r="N46" s="11">
        <v>-2.0351300000000001</v>
      </c>
    </row>
    <row r="47" spans="4:14" x14ac:dyDescent="0.2">
      <c r="D47" s="12" t="s">
        <v>81</v>
      </c>
      <c r="E47" s="12" t="s">
        <v>88</v>
      </c>
      <c r="F47" s="12" t="s">
        <v>87</v>
      </c>
      <c r="G47" s="12">
        <v>22</v>
      </c>
      <c r="H47" s="12">
        <v>510</v>
      </c>
      <c r="I47" s="12"/>
      <c r="K47" s="13">
        <v>50.582999999999998</v>
      </c>
      <c r="L47" s="13">
        <v>-2.4712000000000001</v>
      </c>
      <c r="M47" s="13">
        <v>50.582999999999998</v>
      </c>
      <c r="N47" s="13">
        <v>-2.4712000000000001</v>
      </c>
    </row>
    <row r="48" spans="4:14" x14ac:dyDescent="0.2">
      <c r="D48" s="12" t="s">
        <v>83</v>
      </c>
      <c r="E48" s="12" t="s">
        <v>91</v>
      </c>
      <c r="F48" s="12" t="s">
        <v>90</v>
      </c>
      <c r="G48" s="12"/>
      <c r="H48" s="12"/>
      <c r="I48" s="12"/>
      <c r="K48" s="13">
        <v>50.618299999999998</v>
      </c>
      <c r="L48" s="13">
        <v>-2.2469000000000001</v>
      </c>
      <c r="M48" s="13"/>
      <c r="N48" s="13"/>
    </row>
  </sheetData>
  <dataValidations count="2">
    <dataValidation type="list" allowBlank="1" sqref="H3:I501" xr:uid="{00000000-0002-0000-0200-000000000000}">
      <formula1>"Yes,No"</formula1>
      <formula2>0</formula2>
    </dataValidation>
    <dataValidation type="list" allowBlank="1" sqref="J3:J501" xr:uid="{00000000-0002-0000-0200-000001000000}">
      <formula1>"Completed,Planned"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34" customWidth="1"/>
    <col min="2" max="2" width="16" customWidth="1"/>
  </cols>
  <sheetData>
    <row r="1" spans="1:2" ht="17.25" customHeight="1" x14ac:dyDescent="0.2">
      <c r="A1" s="2" t="s">
        <v>106</v>
      </c>
      <c r="B1" s="2"/>
    </row>
    <row r="3" spans="1:2" ht="15" customHeight="1" x14ac:dyDescent="0.2">
      <c r="A3" s="16" t="s">
        <v>107</v>
      </c>
      <c r="B3" s="17">
        <v>1014</v>
      </c>
    </row>
    <row r="4" spans="1:2" ht="15" customHeight="1" x14ac:dyDescent="0.2">
      <c r="A4" s="1" t="s">
        <v>108</v>
      </c>
      <c r="B4" s="1"/>
    </row>
    <row r="6" spans="1:2" ht="15" customHeight="1" x14ac:dyDescent="0.2">
      <c r="A6" s="16" t="s">
        <v>109</v>
      </c>
      <c r="B6" s="18">
        <f>SUMIFS(MyDays!G:G,MyDays!J:J,"Completed")</f>
        <v>338</v>
      </c>
    </row>
    <row r="7" spans="1:2" ht="15" customHeight="1" x14ac:dyDescent="0.2">
      <c r="A7" s="16" t="s">
        <v>110</v>
      </c>
      <c r="B7" s="19">
        <f>B6/B3</f>
        <v>0.33333333333333331</v>
      </c>
    </row>
    <row r="9" spans="1:2" ht="15" customHeight="1" x14ac:dyDescent="0.2">
      <c r="A9" s="16" t="s">
        <v>111</v>
      </c>
      <c r="B9" s="15">
        <f>COUNTIFS(MyDays!J:J,"Completed")</f>
        <v>16</v>
      </c>
    </row>
    <row r="10" spans="1:2" ht="15" customHeight="1" x14ac:dyDescent="0.2">
      <c r="A10" s="16" t="s">
        <v>112</v>
      </c>
      <c r="B10" s="15">
        <f>COUNTIFS(MyDays!J:J,"Completed",MyDays!H:H,"Yes")</f>
        <v>0</v>
      </c>
    </row>
    <row r="11" spans="1:2" ht="15" customHeight="1" x14ac:dyDescent="0.2">
      <c r="A11" s="16" t="s">
        <v>113</v>
      </c>
      <c r="B11" s="15">
        <f>COUNTIFS(MyDays!J:J,"Completed",MyDays!H:H,"No")</f>
        <v>0</v>
      </c>
    </row>
    <row r="13" spans="1:2" ht="15" customHeight="1" x14ac:dyDescent="0.2">
      <c r="A13" s="16" t="s">
        <v>114</v>
      </c>
      <c r="B13" s="15">
        <f>COUNTIFS(MyDays!J:J,"Planned")</f>
        <v>0</v>
      </c>
    </row>
  </sheetData>
  <mergeCells count="2">
    <mergeCell ref="A1:B1"/>
    <mergeCell ref="A4:B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1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3" width="30" customWidth="1"/>
    <col min="4" max="4" width="12" customWidth="1"/>
    <col min="5" max="8" width="11" customWidth="1"/>
    <col min="9" max="9" width="20" customWidth="1"/>
  </cols>
  <sheetData>
    <row r="1" spans="1:9" ht="45" customHeight="1" x14ac:dyDescent="0.2">
      <c r="A1" s="3" t="s">
        <v>115</v>
      </c>
      <c r="B1" s="3"/>
      <c r="C1" s="3"/>
      <c r="D1" s="3"/>
      <c r="E1" s="3"/>
      <c r="F1" s="3"/>
      <c r="G1" s="3"/>
      <c r="H1" s="3"/>
      <c r="I1" s="3"/>
    </row>
    <row r="2" spans="1:9" x14ac:dyDescent="0.2">
      <c r="A2" s="20" t="s">
        <v>94</v>
      </c>
      <c r="B2" s="20" t="s">
        <v>19</v>
      </c>
      <c r="C2" s="20" t="s">
        <v>20</v>
      </c>
      <c r="D2" s="20" t="s">
        <v>21</v>
      </c>
      <c r="E2" s="20" t="s">
        <v>24</v>
      </c>
      <c r="F2" s="20" t="s">
        <v>25</v>
      </c>
      <c r="G2" s="20" t="s">
        <v>26</v>
      </c>
      <c r="H2" s="20" t="s">
        <v>27</v>
      </c>
      <c r="I2" s="20" t="s">
        <v>96</v>
      </c>
    </row>
    <row r="3" spans="1:9" x14ac:dyDescent="0.2">
      <c r="A3" s="10">
        <v>1</v>
      </c>
      <c r="B3" s="10" t="s">
        <v>116</v>
      </c>
      <c r="C3" s="10" t="s">
        <v>117</v>
      </c>
      <c r="D3" s="10">
        <v>15</v>
      </c>
      <c r="E3" s="11">
        <v>51.211036</v>
      </c>
      <c r="F3" s="11">
        <v>-3.4735809999999998</v>
      </c>
      <c r="G3" s="11">
        <v>51.218420999999999</v>
      </c>
      <c r="H3" s="11">
        <v>-3.6266620000000001</v>
      </c>
      <c r="I3" s="10"/>
    </row>
    <row r="4" spans="1:9" x14ac:dyDescent="0.2">
      <c r="A4" s="10">
        <v>2</v>
      </c>
      <c r="B4" s="10" t="s">
        <v>117</v>
      </c>
      <c r="C4" s="10" t="s">
        <v>118</v>
      </c>
      <c r="D4" s="10">
        <v>15</v>
      </c>
      <c r="E4" s="11">
        <v>51.218420999999999</v>
      </c>
      <c r="F4" s="11">
        <v>-3.6266620000000001</v>
      </c>
      <c r="G4" s="11">
        <v>51.236666</v>
      </c>
      <c r="H4" s="11">
        <v>-3.7733970000000001</v>
      </c>
      <c r="I4" s="10"/>
    </row>
    <row r="5" spans="1:9" x14ac:dyDescent="0.2">
      <c r="A5" s="10">
        <v>3</v>
      </c>
      <c r="B5" s="10" t="s">
        <v>118</v>
      </c>
      <c r="C5" s="10" t="s">
        <v>119</v>
      </c>
      <c r="D5" s="10">
        <v>15</v>
      </c>
      <c r="E5" s="11">
        <v>51.236666</v>
      </c>
      <c r="F5" s="11">
        <v>-3.7733970000000001</v>
      </c>
      <c r="G5" s="11">
        <v>51.225847000000002</v>
      </c>
      <c r="H5" s="11">
        <v>-3.926679</v>
      </c>
      <c r="I5" s="10"/>
    </row>
    <row r="6" spans="1:9" x14ac:dyDescent="0.2">
      <c r="A6" s="10">
        <v>4</v>
      </c>
      <c r="B6" s="10" t="s">
        <v>119</v>
      </c>
      <c r="C6" s="10" t="s">
        <v>120</v>
      </c>
      <c r="D6" s="10">
        <v>15</v>
      </c>
      <c r="E6" s="11">
        <v>51.225847000000002</v>
      </c>
      <c r="F6" s="11">
        <v>-3.926679</v>
      </c>
      <c r="G6" s="11">
        <v>51.213771999999999</v>
      </c>
      <c r="H6" s="11">
        <v>-4.0668189999999997</v>
      </c>
      <c r="I6" s="10"/>
    </row>
    <row r="7" spans="1:9" x14ac:dyDescent="0.2">
      <c r="A7" s="10">
        <v>5</v>
      </c>
      <c r="B7" s="10" t="s">
        <v>120</v>
      </c>
      <c r="C7" s="10" t="s">
        <v>121</v>
      </c>
      <c r="D7" s="10">
        <v>15</v>
      </c>
      <c r="E7" s="11">
        <v>51.213771999999999</v>
      </c>
      <c r="F7" s="11">
        <v>-4.0668189999999997</v>
      </c>
      <c r="G7" s="11">
        <v>51.190097999999999</v>
      </c>
      <c r="H7" s="11">
        <v>-4.2106620000000001</v>
      </c>
      <c r="I7" s="10"/>
    </row>
    <row r="8" spans="1:9" x14ac:dyDescent="0.2">
      <c r="A8" s="10">
        <v>6</v>
      </c>
      <c r="B8" s="10" t="s">
        <v>121</v>
      </c>
      <c r="C8" s="10" t="s">
        <v>122</v>
      </c>
      <c r="D8" s="10">
        <v>15</v>
      </c>
      <c r="E8" s="11">
        <v>51.190097999999999</v>
      </c>
      <c r="F8" s="11">
        <v>-4.2106620000000001</v>
      </c>
      <c r="G8" s="11">
        <v>51.127381</v>
      </c>
      <c r="H8" s="11">
        <v>-4.2385640000000002</v>
      </c>
      <c r="I8" s="10"/>
    </row>
    <row r="9" spans="1:9" x14ac:dyDescent="0.2">
      <c r="A9" s="10">
        <v>7</v>
      </c>
      <c r="B9" s="10" t="s">
        <v>122</v>
      </c>
      <c r="C9" s="10" t="s">
        <v>123</v>
      </c>
      <c r="D9" s="10">
        <v>15.1</v>
      </c>
      <c r="E9" s="11">
        <v>51.127381</v>
      </c>
      <c r="F9" s="11">
        <v>-4.2385640000000002</v>
      </c>
      <c r="G9" s="11">
        <v>51.094548000000003</v>
      </c>
      <c r="H9" s="11">
        <v>-4.1495920000000002</v>
      </c>
      <c r="I9" s="10"/>
    </row>
    <row r="10" spans="1:9" x14ac:dyDescent="0.2">
      <c r="A10" s="10">
        <v>8</v>
      </c>
      <c r="B10" s="10" t="s">
        <v>123</v>
      </c>
      <c r="C10" s="10" t="s">
        <v>124</v>
      </c>
      <c r="D10" s="10">
        <v>15</v>
      </c>
      <c r="E10" s="11">
        <v>51.094548000000003</v>
      </c>
      <c r="F10" s="11">
        <v>-4.1495920000000002</v>
      </c>
      <c r="G10" s="11">
        <v>51.073345000000003</v>
      </c>
      <c r="H10" s="11">
        <v>-4.1608039999999997</v>
      </c>
      <c r="I10" s="10"/>
    </row>
    <row r="11" spans="1:9" x14ac:dyDescent="0.2">
      <c r="A11" s="10">
        <v>9</v>
      </c>
      <c r="B11" s="10" t="s">
        <v>124</v>
      </c>
      <c r="C11" s="10" t="s">
        <v>125</v>
      </c>
      <c r="D11" s="10">
        <v>15</v>
      </c>
      <c r="E11" s="11">
        <v>51.073345000000003</v>
      </c>
      <c r="F11" s="11">
        <v>-4.1608039999999997</v>
      </c>
      <c r="G11" s="11">
        <v>51.057499</v>
      </c>
      <c r="H11" s="11">
        <v>-4.1988240000000001</v>
      </c>
      <c r="I11" s="10"/>
    </row>
    <row r="12" spans="1:9" x14ac:dyDescent="0.2">
      <c r="A12" s="10">
        <v>10</v>
      </c>
      <c r="B12" s="10" t="s">
        <v>125</v>
      </c>
      <c r="C12" s="10" t="s">
        <v>126</v>
      </c>
      <c r="D12" s="10">
        <v>15</v>
      </c>
      <c r="E12" s="11">
        <v>51.057499</v>
      </c>
      <c r="F12" s="11">
        <v>-4.1988240000000001</v>
      </c>
      <c r="G12" s="11">
        <v>50.993296000000001</v>
      </c>
      <c r="H12" s="11">
        <v>-4.3118259999999999</v>
      </c>
      <c r="I12" s="10"/>
    </row>
    <row r="13" spans="1:9" x14ac:dyDescent="0.2">
      <c r="A13" s="10">
        <v>11</v>
      </c>
      <c r="B13" s="10" t="s">
        <v>126</v>
      </c>
      <c r="C13" s="10" t="s">
        <v>127</v>
      </c>
      <c r="D13" s="10">
        <v>15</v>
      </c>
      <c r="E13" s="11">
        <v>50.993296000000001</v>
      </c>
      <c r="F13" s="11">
        <v>-4.3118259999999999</v>
      </c>
      <c r="G13" s="11">
        <v>51.013038999999999</v>
      </c>
      <c r="H13" s="11">
        <v>-4.4488320000000003</v>
      </c>
      <c r="I13" s="10"/>
    </row>
    <row r="14" spans="1:9" x14ac:dyDescent="0.2">
      <c r="A14" s="10">
        <v>12</v>
      </c>
      <c r="B14" s="10" t="s">
        <v>127</v>
      </c>
      <c r="C14" s="10" t="s">
        <v>128</v>
      </c>
      <c r="D14" s="10">
        <v>15</v>
      </c>
      <c r="E14" s="11">
        <v>51.013038999999999</v>
      </c>
      <c r="F14" s="11">
        <v>-4.4488320000000003</v>
      </c>
      <c r="G14" s="11">
        <v>50.966104999999999</v>
      </c>
      <c r="H14" s="11">
        <v>-4.530049</v>
      </c>
      <c r="I14" s="10"/>
    </row>
    <row r="15" spans="1:9" x14ac:dyDescent="0.2">
      <c r="A15" s="10">
        <v>13</v>
      </c>
      <c r="B15" s="10" t="s">
        <v>128</v>
      </c>
      <c r="C15" s="10" t="s">
        <v>129</v>
      </c>
      <c r="D15" s="10">
        <v>15</v>
      </c>
      <c r="E15" s="11">
        <v>50.966104999999999</v>
      </c>
      <c r="F15" s="11">
        <v>-4.530049</v>
      </c>
      <c r="G15" s="11">
        <v>50.869971</v>
      </c>
      <c r="H15" s="11">
        <v>-4.5568569999999999</v>
      </c>
      <c r="I15" s="10"/>
    </row>
    <row r="16" spans="1:9" x14ac:dyDescent="0.2">
      <c r="A16" s="10">
        <v>14</v>
      </c>
      <c r="B16" s="10" t="s">
        <v>129</v>
      </c>
      <c r="C16" s="10" t="s">
        <v>130</v>
      </c>
      <c r="D16" s="10">
        <v>15</v>
      </c>
      <c r="E16" s="11">
        <v>50.869971</v>
      </c>
      <c r="F16" s="11">
        <v>-4.5568569999999999</v>
      </c>
      <c r="G16" s="11">
        <v>50.767915000000002</v>
      </c>
      <c r="H16" s="11">
        <v>-4.5837370000000002</v>
      </c>
      <c r="I16" s="10"/>
    </row>
    <row r="17" spans="1:9" x14ac:dyDescent="0.2">
      <c r="A17" s="10">
        <v>15</v>
      </c>
      <c r="B17" s="10" t="s">
        <v>130</v>
      </c>
      <c r="C17" s="10" t="s">
        <v>131</v>
      </c>
      <c r="D17" s="10">
        <v>15</v>
      </c>
      <c r="E17" s="11">
        <v>50.767915000000002</v>
      </c>
      <c r="F17" s="11">
        <v>-4.5837370000000002</v>
      </c>
      <c r="G17" s="11">
        <v>50.701118999999998</v>
      </c>
      <c r="H17" s="11">
        <v>-4.6836349999999998</v>
      </c>
      <c r="I17" s="10"/>
    </row>
    <row r="18" spans="1:9" x14ac:dyDescent="0.2">
      <c r="A18" s="10">
        <v>16</v>
      </c>
      <c r="B18" s="10" t="s">
        <v>131</v>
      </c>
      <c r="C18" s="10" t="s">
        <v>132</v>
      </c>
      <c r="D18" s="10">
        <v>15</v>
      </c>
      <c r="E18" s="11">
        <v>50.701118999999998</v>
      </c>
      <c r="F18" s="11">
        <v>-4.6836349999999998</v>
      </c>
      <c r="G18" s="11">
        <v>50.638900999999997</v>
      </c>
      <c r="H18" s="11">
        <v>-4.7665329999999999</v>
      </c>
      <c r="I18" s="10"/>
    </row>
    <row r="19" spans="1:9" x14ac:dyDescent="0.2">
      <c r="A19" s="10">
        <v>17</v>
      </c>
      <c r="B19" s="10" t="s">
        <v>132</v>
      </c>
      <c r="C19" s="10" t="s">
        <v>133</v>
      </c>
      <c r="D19" s="10">
        <v>15</v>
      </c>
      <c r="E19" s="11">
        <v>50.638900999999997</v>
      </c>
      <c r="F19" s="11">
        <v>-4.7665329999999999</v>
      </c>
      <c r="G19" s="11">
        <v>50.589616999999997</v>
      </c>
      <c r="H19" s="11">
        <v>-4.870285</v>
      </c>
      <c r="I19" s="10"/>
    </row>
    <row r="20" spans="1:9" x14ac:dyDescent="0.2">
      <c r="A20" s="10">
        <v>18</v>
      </c>
      <c r="B20" s="10" t="s">
        <v>133</v>
      </c>
      <c r="C20" s="10" t="s">
        <v>134</v>
      </c>
      <c r="D20" s="10">
        <v>15</v>
      </c>
      <c r="E20" s="11">
        <v>50.589616999999997</v>
      </c>
      <c r="F20" s="11">
        <v>-4.870285</v>
      </c>
      <c r="G20" s="11">
        <v>50.54862</v>
      </c>
      <c r="H20" s="11">
        <v>-4.9356309999999999</v>
      </c>
      <c r="I20" s="10"/>
    </row>
    <row r="21" spans="1:9" x14ac:dyDescent="0.2">
      <c r="A21" s="10">
        <v>19</v>
      </c>
      <c r="B21" s="10" t="s">
        <v>134</v>
      </c>
      <c r="C21" s="10" t="s">
        <v>135</v>
      </c>
      <c r="D21" s="10">
        <v>15</v>
      </c>
      <c r="E21" s="11">
        <v>50.54862</v>
      </c>
      <c r="F21" s="11">
        <v>-4.9356309999999999</v>
      </c>
      <c r="G21" s="11">
        <v>50.542701000000001</v>
      </c>
      <c r="H21" s="11">
        <v>-5.0303800000000001</v>
      </c>
      <c r="I21" s="10"/>
    </row>
    <row r="22" spans="1:9" x14ac:dyDescent="0.2">
      <c r="A22" s="10">
        <v>20</v>
      </c>
      <c r="B22" s="10" t="s">
        <v>135</v>
      </c>
      <c r="C22" s="10" t="s">
        <v>136</v>
      </c>
      <c r="D22" s="10">
        <v>15</v>
      </c>
      <c r="E22" s="11">
        <v>50.542701000000001</v>
      </c>
      <c r="F22" s="11">
        <v>-5.0303800000000001</v>
      </c>
      <c r="G22" s="11">
        <v>50.456111</v>
      </c>
      <c r="H22" s="11">
        <v>-5.0405309999999997</v>
      </c>
      <c r="I22" s="10"/>
    </row>
    <row r="23" spans="1:9" x14ac:dyDescent="0.2">
      <c r="A23" s="10">
        <v>21</v>
      </c>
      <c r="B23" s="10" t="s">
        <v>136</v>
      </c>
      <c r="C23" s="10" t="s">
        <v>137</v>
      </c>
      <c r="D23" s="10">
        <v>15</v>
      </c>
      <c r="E23" s="11">
        <v>50.456111</v>
      </c>
      <c r="F23" s="11">
        <v>-5.0405309999999997</v>
      </c>
      <c r="G23" s="11">
        <v>50.408107000000001</v>
      </c>
      <c r="H23" s="11">
        <v>-5.0951599999999999</v>
      </c>
      <c r="I23" s="10"/>
    </row>
    <row r="24" spans="1:9" x14ac:dyDescent="0.2">
      <c r="A24" s="10">
        <v>22</v>
      </c>
      <c r="B24" s="10" t="s">
        <v>137</v>
      </c>
      <c r="C24" s="10" t="s">
        <v>138</v>
      </c>
      <c r="D24" s="10">
        <v>15.3</v>
      </c>
      <c r="E24" s="11">
        <v>50.408107000000001</v>
      </c>
      <c r="F24" s="11">
        <v>-5.0951599999999999</v>
      </c>
      <c r="G24" s="11">
        <v>50.361776999999996</v>
      </c>
      <c r="H24" s="11">
        <v>-5.1498410000000003</v>
      </c>
      <c r="I24" s="10"/>
    </row>
    <row r="25" spans="1:9" x14ac:dyDescent="0.2">
      <c r="A25" s="10">
        <v>23</v>
      </c>
      <c r="B25" s="10" t="s">
        <v>138</v>
      </c>
      <c r="C25" s="10" t="s">
        <v>139</v>
      </c>
      <c r="D25" s="10">
        <v>14.7</v>
      </c>
      <c r="E25" s="11">
        <v>50.361776999999996</v>
      </c>
      <c r="F25" s="11">
        <v>-5.1498410000000003</v>
      </c>
      <c r="G25" s="11">
        <v>50.291110000000003</v>
      </c>
      <c r="H25" s="11">
        <v>-5.2404710000000003</v>
      </c>
      <c r="I25" s="10"/>
    </row>
    <row r="26" spans="1:9" x14ac:dyDescent="0.2">
      <c r="A26" s="10">
        <v>24</v>
      </c>
      <c r="B26" s="10" t="s">
        <v>139</v>
      </c>
      <c r="C26" s="10" t="s">
        <v>140</v>
      </c>
      <c r="D26" s="10">
        <v>15</v>
      </c>
      <c r="E26" s="11">
        <v>50.291110000000003</v>
      </c>
      <c r="F26" s="11">
        <v>-5.2404710000000003</v>
      </c>
      <c r="G26" s="11">
        <v>50.237563000000002</v>
      </c>
      <c r="H26" s="11">
        <v>-5.374701</v>
      </c>
      <c r="I26" s="10"/>
    </row>
    <row r="27" spans="1:9" x14ac:dyDescent="0.2">
      <c r="A27" s="10">
        <v>25</v>
      </c>
      <c r="B27" s="10" t="s">
        <v>140</v>
      </c>
      <c r="C27" s="10" t="s">
        <v>141</v>
      </c>
      <c r="D27" s="10">
        <v>15</v>
      </c>
      <c r="E27" s="11">
        <v>50.237563000000002</v>
      </c>
      <c r="F27" s="11">
        <v>-5.374701</v>
      </c>
      <c r="G27" s="11">
        <v>50.189293999999997</v>
      </c>
      <c r="H27" s="11">
        <v>-5.4361329999999999</v>
      </c>
      <c r="I27" s="10"/>
    </row>
    <row r="28" spans="1:9" x14ac:dyDescent="0.2">
      <c r="A28" s="10">
        <v>26</v>
      </c>
      <c r="B28" s="10" t="s">
        <v>141</v>
      </c>
      <c r="C28" s="10" t="s">
        <v>142</v>
      </c>
      <c r="D28" s="10">
        <v>15</v>
      </c>
      <c r="E28" s="11">
        <v>50.189293999999997</v>
      </c>
      <c r="F28" s="11">
        <v>-5.4361329999999999</v>
      </c>
      <c r="G28" s="11">
        <v>50.200515000000003</v>
      </c>
      <c r="H28" s="11">
        <v>-5.5639900000000004</v>
      </c>
      <c r="I28" s="10"/>
    </row>
    <row r="29" spans="1:9" x14ac:dyDescent="0.2">
      <c r="A29" s="10">
        <v>27</v>
      </c>
      <c r="B29" s="10" t="s">
        <v>142</v>
      </c>
      <c r="C29" s="10" t="s">
        <v>143</v>
      </c>
      <c r="D29" s="10">
        <v>15</v>
      </c>
      <c r="E29" s="11">
        <v>50.200515000000003</v>
      </c>
      <c r="F29" s="11">
        <v>-5.5639900000000004</v>
      </c>
      <c r="G29" s="11">
        <v>50.150326999999997</v>
      </c>
      <c r="H29" s="11">
        <v>-5.6875749999999998</v>
      </c>
      <c r="I29" s="10"/>
    </row>
    <row r="30" spans="1:9" x14ac:dyDescent="0.2">
      <c r="A30" s="10">
        <v>28</v>
      </c>
      <c r="B30" s="10" t="s">
        <v>143</v>
      </c>
      <c r="C30" s="10" t="s">
        <v>144</v>
      </c>
      <c r="D30" s="10">
        <v>15</v>
      </c>
      <c r="E30" s="11">
        <v>50.150326999999997</v>
      </c>
      <c r="F30" s="11">
        <v>-5.6875749999999998</v>
      </c>
      <c r="G30" s="11">
        <v>50.064152999999997</v>
      </c>
      <c r="H30" s="11">
        <v>-5.7132079999999998</v>
      </c>
      <c r="I30" s="10"/>
    </row>
    <row r="31" spans="1:9" x14ac:dyDescent="0.2">
      <c r="A31" s="10">
        <v>29</v>
      </c>
      <c r="B31" s="10" t="s">
        <v>144</v>
      </c>
      <c r="C31" s="10" t="s">
        <v>145</v>
      </c>
      <c r="D31" s="10">
        <v>15</v>
      </c>
      <c r="E31" s="11">
        <v>50.064152999999997</v>
      </c>
      <c r="F31" s="11">
        <v>-5.7132079999999998</v>
      </c>
      <c r="G31" s="11">
        <v>50.053091000000002</v>
      </c>
      <c r="H31" s="11">
        <v>-5.5760249999999996</v>
      </c>
      <c r="I31" s="10"/>
    </row>
    <row r="32" spans="1:9" x14ac:dyDescent="0.2">
      <c r="A32" s="10">
        <v>30</v>
      </c>
      <c r="B32" s="10" t="s">
        <v>145</v>
      </c>
      <c r="C32" s="10" t="s">
        <v>146</v>
      </c>
      <c r="D32" s="10">
        <v>15</v>
      </c>
      <c r="E32" s="11">
        <v>50.053091000000002</v>
      </c>
      <c r="F32" s="11">
        <v>-5.5760249999999996</v>
      </c>
      <c r="G32" s="11">
        <v>50.128318</v>
      </c>
      <c r="H32" s="11">
        <v>-5.4871759999999998</v>
      </c>
      <c r="I32" s="10"/>
    </row>
    <row r="33" spans="1:9" x14ac:dyDescent="0.2">
      <c r="A33" s="10">
        <v>31</v>
      </c>
      <c r="B33" s="10" t="s">
        <v>146</v>
      </c>
      <c r="C33" s="10" t="s">
        <v>147</v>
      </c>
      <c r="D33" s="10">
        <v>15</v>
      </c>
      <c r="E33" s="11">
        <v>50.128318</v>
      </c>
      <c r="F33" s="11">
        <v>-5.4871759999999998</v>
      </c>
      <c r="G33" s="11">
        <v>50.091960999999998</v>
      </c>
      <c r="H33" s="11">
        <v>-5.3514410000000003</v>
      </c>
      <c r="I33" s="10"/>
    </row>
    <row r="34" spans="1:9" x14ac:dyDescent="0.2">
      <c r="A34" s="10">
        <v>32</v>
      </c>
      <c r="B34" s="10" t="s">
        <v>147</v>
      </c>
      <c r="C34" s="10" t="s">
        <v>148</v>
      </c>
      <c r="D34" s="10">
        <v>15</v>
      </c>
      <c r="E34" s="11">
        <v>50.091960999999998</v>
      </c>
      <c r="F34" s="11">
        <v>-5.3514410000000003</v>
      </c>
      <c r="G34" s="11">
        <v>50.020122000000001</v>
      </c>
      <c r="H34" s="11">
        <v>-5.2558179999999997</v>
      </c>
      <c r="I34" s="10"/>
    </row>
    <row r="35" spans="1:9" x14ac:dyDescent="0.2">
      <c r="A35" s="10">
        <v>33</v>
      </c>
      <c r="B35" s="10" t="s">
        <v>148</v>
      </c>
      <c r="C35" s="10" t="s">
        <v>149</v>
      </c>
      <c r="D35" s="10">
        <v>15</v>
      </c>
      <c r="E35" s="11">
        <v>50.020122000000001</v>
      </c>
      <c r="F35" s="11">
        <v>-5.2558179999999997</v>
      </c>
      <c r="G35" s="11">
        <v>49.975217000000001</v>
      </c>
      <c r="H35" s="11">
        <v>-5.1875150000000003</v>
      </c>
      <c r="I35" s="10"/>
    </row>
    <row r="36" spans="1:9" x14ac:dyDescent="0.2">
      <c r="A36" s="10">
        <v>34</v>
      </c>
      <c r="B36" s="10" t="s">
        <v>149</v>
      </c>
      <c r="C36" s="10" t="s">
        <v>150</v>
      </c>
      <c r="D36" s="10">
        <v>15</v>
      </c>
      <c r="E36" s="11">
        <v>49.975217000000001</v>
      </c>
      <c r="F36" s="11">
        <v>-5.1875150000000003</v>
      </c>
      <c r="G36" s="11">
        <v>50.032356</v>
      </c>
      <c r="H36" s="11">
        <v>-5.085153</v>
      </c>
      <c r="I36" s="10"/>
    </row>
    <row r="37" spans="1:9" x14ac:dyDescent="0.2">
      <c r="A37" s="10">
        <v>35</v>
      </c>
      <c r="B37" s="10" t="s">
        <v>150</v>
      </c>
      <c r="C37" s="10" t="s">
        <v>151</v>
      </c>
      <c r="D37" s="10">
        <v>15</v>
      </c>
      <c r="E37" s="11">
        <v>50.032356</v>
      </c>
      <c r="F37" s="11">
        <v>-5.085153</v>
      </c>
      <c r="G37" s="11">
        <v>50.089615000000002</v>
      </c>
      <c r="H37" s="11">
        <v>-5.1003850000000002</v>
      </c>
      <c r="I37" s="10"/>
    </row>
    <row r="38" spans="1:9" x14ac:dyDescent="0.2">
      <c r="A38" s="10">
        <v>36</v>
      </c>
      <c r="B38" s="10" t="s">
        <v>151</v>
      </c>
      <c r="C38" s="10" t="s">
        <v>152</v>
      </c>
      <c r="D38" s="10">
        <v>15</v>
      </c>
      <c r="E38" s="11">
        <v>50.089615000000002</v>
      </c>
      <c r="F38" s="11">
        <v>-5.1003850000000002</v>
      </c>
      <c r="G38" s="11">
        <v>50.134507999999997</v>
      </c>
      <c r="H38" s="11">
        <v>-5.0763400000000001</v>
      </c>
      <c r="I38" s="10"/>
    </row>
    <row r="39" spans="1:9" x14ac:dyDescent="0.2">
      <c r="A39" s="10">
        <v>37</v>
      </c>
      <c r="B39" s="10" t="s">
        <v>152</v>
      </c>
      <c r="C39" s="10" t="s">
        <v>153</v>
      </c>
      <c r="D39" s="10">
        <v>15</v>
      </c>
      <c r="E39" s="11">
        <v>50.134507999999997</v>
      </c>
      <c r="F39" s="11">
        <v>-5.0763400000000001</v>
      </c>
      <c r="G39" s="11">
        <v>50.141668000000003</v>
      </c>
      <c r="H39" s="11">
        <v>-5.0135009999999998</v>
      </c>
      <c r="I39" s="10"/>
    </row>
    <row r="40" spans="1:9" x14ac:dyDescent="0.2">
      <c r="A40" s="10">
        <v>38</v>
      </c>
      <c r="B40" s="10" t="s">
        <v>153</v>
      </c>
      <c r="C40" s="10" t="s">
        <v>154</v>
      </c>
      <c r="D40" s="10">
        <v>15</v>
      </c>
      <c r="E40" s="11">
        <v>50.141668000000003</v>
      </c>
      <c r="F40" s="11">
        <v>-5.0135009999999998</v>
      </c>
      <c r="G40" s="11">
        <v>50.200633000000003</v>
      </c>
      <c r="H40" s="11">
        <v>-4.9124699999999999</v>
      </c>
      <c r="I40" s="10"/>
    </row>
    <row r="41" spans="1:9" x14ac:dyDescent="0.2">
      <c r="A41" s="10">
        <v>39</v>
      </c>
      <c r="B41" s="10" t="s">
        <v>154</v>
      </c>
      <c r="C41" s="10" t="s">
        <v>155</v>
      </c>
      <c r="D41" s="10">
        <v>15.1</v>
      </c>
      <c r="E41" s="11">
        <v>50.200633000000003</v>
      </c>
      <c r="F41" s="11">
        <v>-4.9124699999999999</v>
      </c>
      <c r="G41" s="11">
        <v>50.229832000000002</v>
      </c>
      <c r="H41" s="11">
        <v>-4.8008420000000003</v>
      </c>
      <c r="I41" s="10"/>
    </row>
    <row r="42" spans="1:9" x14ac:dyDescent="0.2">
      <c r="A42" s="10">
        <v>40</v>
      </c>
      <c r="B42" s="10" t="s">
        <v>155</v>
      </c>
      <c r="C42" s="10" t="s">
        <v>156</v>
      </c>
      <c r="D42" s="10">
        <v>15</v>
      </c>
      <c r="E42" s="11">
        <v>50.229832000000002</v>
      </c>
      <c r="F42" s="11">
        <v>-4.8008420000000003</v>
      </c>
      <c r="G42" s="11">
        <v>50.300716999999999</v>
      </c>
      <c r="H42" s="11">
        <v>-4.7567500000000003</v>
      </c>
      <c r="I42" s="10"/>
    </row>
    <row r="43" spans="1:9" x14ac:dyDescent="0.2">
      <c r="A43" s="10">
        <v>41</v>
      </c>
      <c r="B43" s="10" t="s">
        <v>156</v>
      </c>
      <c r="C43" s="10" t="s">
        <v>157</v>
      </c>
      <c r="D43" s="10">
        <v>15</v>
      </c>
      <c r="E43" s="11">
        <v>50.300716999999999</v>
      </c>
      <c r="F43" s="11">
        <v>-4.7567500000000003</v>
      </c>
      <c r="G43" s="11">
        <v>50.330362999999998</v>
      </c>
      <c r="H43" s="11">
        <v>-4.6819470000000001</v>
      </c>
      <c r="I43" s="10"/>
    </row>
    <row r="44" spans="1:9" x14ac:dyDescent="0.2">
      <c r="A44" s="10">
        <v>42</v>
      </c>
      <c r="B44" s="10" t="s">
        <v>157</v>
      </c>
      <c r="C44" s="10" t="s">
        <v>158</v>
      </c>
      <c r="D44" s="10">
        <v>15</v>
      </c>
      <c r="E44" s="11">
        <v>50.330362999999998</v>
      </c>
      <c r="F44" s="11">
        <v>-4.6819470000000001</v>
      </c>
      <c r="G44" s="11">
        <v>50.328104000000003</v>
      </c>
      <c r="H44" s="11">
        <v>-4.559069</v>
      </c>
      <c r="I44" s="10"/>
    </row>
    <row r="45" spans="1:9" x14ac:dyDescent="0.2">
      <c r="A45" s="10">
        <v>43</v>
      </c>
      <c r="B45" s="10" t="s">
        <v>158</v>
      </c>
      <c r="C45" s="10" t="s">
        <v>159</v>
      </c>
      <c r="D45" s="10">
        <v>15</v>
      </c>
      <c r="E45" s="11">
        <v>50.328104000000003</v>
      </c>
      <c r="F45" s="11">
        <v>-4.559069</v>
      </c>
      <c r="G45" s="11">
        <v>50.363047000000002</v>
      </c>
      <c r="H45" s="11">
        <v>-4.4252039999999999</v>
      </c>
      <c r="I45" s="10"/>
    </row>
    <row r="46" spans="1:9" x14ac:dyDescent="0.2">
      <c r="A46" s="10">
        <v>44</v>
      </c>
      <c r="B46" s="10" t="s">
        <v>159</v>
      </c>
      <c r="C46" s="10" t="s">
        <v>160</v>
      </c>
      <c r="D46" s="10">
        <v>15</v>
      </c>
      <c r="E46" s="11">
        <v>50.363047000000002</v>
      </c>
      <c r="F46" s="11">
        <v>-4.4252039999999999</v>
      </c>
      <c r="G46" s="11">
        <v>50.347625999999998</v>
      </c>
      <c r="H46" s="11">
        <v>-4.2545469999999996</v>
      </c>
      <c r="I46" s="10"/>
    </row>
    <row r="47" spans="1:9" x14ac:dyDescent="0.2">
      <c r="A47" s="10">
        <v>45</v>
      </c>
      <c r="B47" s="10" t="s">
        <v>160</v>
      </c>
      <c r="C47" s="10" t="s">
        <v>161</v>
      </c>
      <c r="D47" s="10">
        <v>15</v>
      </c>
      <c r="E47" s="11">
        <v>50.347625999999998</v>
      </c>
      <c r="F47" s="11">
        <v>-4.2545469999999996</v>
      </c>
      <c r="G47" s="11">
        <v>50.358777000000003</v>
      </c>
      <c r="H47" s="11">
        <v>-4.1717880000000003</v>
      </c>
      <c r="I47" s="10"/>
    </row>
    <row r="48" spans="1:9" x14ac:dyDescent="0.2">
      <c r="A48" s="10">
        <v>46</v>
      </c>
      <c r="B48" s="10" t="s">
        <v>161</v>
      </c>
      <c r="C48" s="10" t="s">
        <v>162</v>
      </c>
      <c r="D48" s="10">
        <v>15</v>
      </c>
      <c r="E48" s="11">
        <v>50.358777000000003</v>
      </c>
      <c r="F48" s="11">
        <v>-4.1717880000000003</v>
      </c>
      <c r="G48" s="11">
        <v>50.360647999999998</v>
      </c>
      <c r="H48" s="11">
        <v>-4.1291989999999998</v>
      </c>
      <c r="I48" s="10"/>
    </row>
    <row r="49" spans="1:9" x14ac:dyDescent="0.2">
      <c r="A49" s="10">
        <v>47</v>
      </c>
      <c r="B49" s="10" t="s">
        <v>162</v>
      </c>
      <c r="C49" s="10" t="s">
        <v>163</v>
      </c>
      <c r="D49" s="10">
        <v>15</v>
      </c>
      <c r="E49" s="11">
        <v>50.360647999999998</v>
      </c>
      <c r="F49" s="11">
        <v>-4.1291989999999998</v>
      </c>
      <c r="G49" s="11">
        <v>50.304119</v>
      </c>
      <c r="H49" s="11">
        <v>-4.0678419999999997</v>
      </c>
      <c r="I49" s="10"/>
    </row>
    <row r="50" spans="1:9" x14ac:dyDescent="0.2">
      <c r="A50" s="10">
        <v>48</v>
      </c>
      <c r="B50" s="10" t="s">
        <v>163</v>
      </c>
      <c r="C50" s="10" t="s">
        <v>164</v>
      </c>
      <c r="D50" s="10">
        <v>15</v>
      </c>
      <c r="E50" s="11">
        <v>50.304119</v>
      </c>
      <c r="F50" s="11">
        <v>-4.0678419999999997</v>
      </c>
      <c r="G50" s="11">
        <v>50.296962000000001</v>
      </c>
      <c r="H50" s="11">
        <v>-3.9308550000000002</v>
      </c>
      <c r="I50" s="10"/>
    </row>
    <row r="51" spans="1:9" x14ac:dyDescent="0.2">
      <c r="A51" s="10">
        <v>49</v>
      </c>
      <c r="B51" s="10" t="s">
        <v>164</v>
      </c>
      <c r="C51" s="10" t="s">
        <v>165</v>
      </c>
      <c r="D51" s="10">
        <v>15</v>
      </c>
      <c r="E51" s="11">
        <v>50.296962000000001</v>
      </c>
      <c r="F51" s="11">
        <v>-3.9308550000000002</v>
      </c>
      <c r="G51" s="11">
        <v>50.233773999999997</v>
      </c>
      <c r="H51" s="11">
        <v>-3.8494199999999998</v>
      </c>
      <c r="I51" s="10"/>
    </row>
    <row r="52" spans="1:9" x14ac:dyDescent="0.2">
      <c r="A52" s="10">
        <v>50</v>
      </c>
      <c r="B52" s="10" t="s">
        <v>165</v>
      </c>
      <c r="C52" s="10" t="s">
        <v>166</v>
      </c>
      <c r="D52" s="10">
        <v>15</v>
      </c>
      <c r="E52" s="11">
        <v>50.233773999999997</v>
      </c>
      <c r="F52" s="11">
        <v>-3.8494199999999998</v>
      </c>
      <c r="G52" s="11">
        <v>50.215808000000003</v>
      </c>
      <c r="H52" s="11">
        <v>-3.739017</v>
      </c>
      <c r="I52" s="10"/>
    </row>
    <row r="53" spans="1:9" x14ac:dyDescent="0.2">
      <c r="A53" s="10">
        <v>51</v>
      </c>
      <c r="B53" s="10" t="s">
        <v>166</v>
      </c>
      <c r="C53" s="10" t="s">
        <v>167</v>
      </c>
      <c r="D53" s="10">
        <v>15</v>
      </c>
      <c r="E53" s="11">
        <v>50.215808000000003</v>
      </c>
      <c r="F53" s="11">
        <v>-3.739017</v>
      </c>
      <c r="G53" s="11">
        <v>50.261778999999997</v>
      </c>
      <c r="H53" s="11">
        <v>-3.65666</v>
      </c>
      <c r="I53" s="10"/>
    </row>
    <row r="54" spans="1:9" x14ac:dyDescent="0.2">
      <c r="A54" s="10">
        <v>52</v>
      </c>
      <c r="B54" s="10" t="s">
        <v>167</v>
      </c>
      <c r="C54" s="10" t="s">
        <v>168</v>
      </c>
      <c r="D54" s="10">
        <v>15</v>
      </c>
      <c r="E54" s="11">
        <v>50.261778999999997</v>
      </c>
      <c r="F54" s="11">
        <v>-3.65666</v>
      </c>
      <c r="G54" s="11">
        <v>50.340206000000002</v>
      </c>
      <c r="H54" s="11">
        <v>-3.5684459999999998</v>
      </c>
      <c r="I54" s="10"/>
    </row>
    <row r="55" spans="1:9" x14ac:dyDescent="0.2">
      <c r="A55" s="10">
        <v>53</v>
      </c>
      <c r="B55" s="10" t="s">
        <v>168</v>
      </c>
      <c r="C55" s="10" t="s">
        <v>169</v>
      </c>
      <c r="D55" s="10">
        <v>15</v>
      </c>
      <c r="E55" s="11">
        <v>50.340206000000002</v>
      </c>
      <c r="F55" s="11">
        <v>-3.5684459999999998</v>
      </c>
      <c r="G55" s="11">
        <v>50.383507999999999</v>
      </c>
      <c r="H55" s="11">
        <v>-3.5012699999999999</v>
      </c>
      <c r="I55" s="10"/>
    </row>
    <row r="56" spans="1:9" x14ac:dyDescent="0.2">
      <c r="A56" s="10">
        <v>54</v>
      </c>
      <c r="B56" s="10" t="s">
        <v>169</v>
      </c>
      <c r="C56" s="10" t="s">
        <v>170</v>
      </c>
      <c r="D56" s="10">
        <v>15</v>
      </c>
      <c r="E56" s="11">
        <v>50.383507999999999</v>
      </c>
      <c r="F56" s="11">
        <v>-3.5012699999999999</v>
      </c>
      <c r="G56" s="11">
        <v>50.446247</v>
      </c>
      <c r="H56" s="11">
        <v>-3.5551149999999998</v>
      </c>
      <c r="I56" s="10"/>
    </row>
    <row r="57" spans="1:9" x14ac:dyDescent="0.2">
      <c r="A57" s="10">
        <v>55</v>
      </c>
      <c r="B57" s="10" t="s">
        <v>170</v>
      </c>
      <c r="C57" s="10" t="s">
        <v>171</v>
      </c>
      <c r="D57" s="10">
        <v>15.1</v>
      </c>
      <c r="E57" s="11">
        <v>50.446247</v>
      </c>
      <c r="F57" s="11">
        <v>-3.5551149999999998</v>
      </c>
      <c r="G57" s="11">
        <v>50.500574</v>
      </c>
      <c r="H57" s="11">
        <v>-3.514383</v>
      </c>
      <c r="I57" s="10"/>
    </row>
    <row r="58" spans="1:9" x14ac:dyDescent="0.2">
      <c r="A58" s="10">
        <v>56</v>
      </c>
      <c r="B58" s="10" t="s">
        <v>171</v>
      </c>
      <c r="C58" s="10" t="s">
        <v>172</v>
      </c>
      <c r="D58" s="10">
        <v>15</v>
      </c>
      <c r="E58" s="11">
        <v>50.500574</v>
      </c>
      <c r="F58" s="11">
        <v>-3.514383</v>
      </c>
      <c r="G58" s="11">
        <v>50.597276999999998</v>
      </c>
      <c r="H58" s="11">
        <v>-3.4445670000000002</v>
      </c>
      <c r="I58" s="10"/>
    </row>
    <row r="59" spans="1:9" x14ac:dyDescent="0.2">
      <c r="A59" s="10">
        <v>57</v>
      </c>
      <c r="B59" s="10" t="s">
        <v>172</v>
      </c>
      <c r="C59" s="10" t="s">
        <v>77</v>
      </c>
      <c r="D59" s="10">
        <v>15</v>
      </c>
      <c r="E59" s="11">
        <v>50.597276999999998</v>
      </c>
      <c r="F59" s="11">
        <v>-3.4445670000000002</v>
      </c>
      <c r="G59" s="11">
        <v>50.628374000000001</v>
      </c>
      <c r="H59" s="11">
        <v>-3.3245710000000002</v>
      </c>
      <c r="I59" s="10"/>
    </row>
    <row r="60" spans="1:9" x14ac:dyDescent="0.2">
      <c r="A60" s="10">
        <v>58</v>
      </c>
      <c r="B60" s="10" t="s">
        <v>77</v>
      </c>
      <c r="C60" s="10" t="s">
        <v>173</v>
      </c>
      <c r="D60" s="10">
        <v>15</v>
      </c>
      <c r="E60" s="11">
        <v>50.628374000000001</v>
      </c>
      <c r="F60" s="11">
        <v>-3.3245710000000002</v>
      </c>
      <c r="G60" s="11">
        <v>50.683836999999997</v>
      </c>
      <c r="H60" s="11">
        <v>-3.2044030000000001</v>
      </c>
      <c r="I60" s="10"/>
    </row>
    <row r="61" spans="1:9" x14ac:dyDescent="0.2">
      <c r="A61" s="10">
        <v>59</v>
      </c>
      <c r="B61" s="10" t="s">
        <v>173</v>
      </c>
      <c r="C61" s="10" t="s">
        <v>174</v>
      </c>
      <c r="D61" s="10">
        <v>15</v>
      </c>
      <c r="E61" s="11">
        <v>50.683836999999997</v>
      </c>
      <c r="F61" s="11">
        <v>-3.2044030000000001</v>
      </c>
      <c r="G61" s="11">
        <v>50.706828999999999</v>
      </c>
      <c r="H61" s="11">
        <v>-3.0502910000000001</v>
      </c>
      <c r="I61" s="10"/>
    </row>
    <row r="62" spans="1:9" x14ac:dyDescent="0.2">
      <c r="A62" s="10">
        <v>60</v>
      </c>
      <c r="B62" s="10" t="s">
        <v>174</v>
      </c>
      <c r="C62" s="10" t="s">
        <v>175</v>
      </c>
      <c r="D62" s="10">
        <v>15</v>
      </c>
      <c r="E62" s="11">
        <v>50.706828999999999</v>
      </c>
      <c r="F62" s="11">
        <v>-3.0502910000000001</v>
      </c>
      <c r="G62" s="11">
        <v>50.735593000000001</v>
      </c>
      <c r="H62" s="11">
        <v>-2.9041809999999999</v>
      </c>
      <c r="I62" s="10"/>
    </row>
    <row r="63" spans="1:9" x14ac:dyDescent="0.2">
      <c r="A63" s="10">
        <v>61</v>
      </c>
      <c r="B63" s="10" t="s">
        <v>175</v>
      </c>
      <c r="C63" s="10" t="s">
        <v>176</v>
      </c>
      <c r="D63" s="10">
        <v>15</v>
      </c>
      <c r="E63" s="11">
        <v>50.735593000000001</v>
      </c>
      <c r="F63" s="11">
        <v>-2.9041809999999999</v>
      </c>
      <c r="G63" s="11">
        <v>50.700946999999999</v>
      </c>
      <c r="H63" s="11">
        <v>-2.7355390000000002</v>
      </c>
      <c r="I63" s="10"/>
    </row>
    <row r="64" spans="1:9" x14ac:dyDescent="0.2">
      <c r="A64" s="10">
        <v>62</v>
      </c>
      <c r="B64" s="10" t="s">
        <v>176</v>
      </c>
      <c r="C64" s="10" t="s">
        <v>177</v>
      </c>
      <c r="D64" s="10">
        <v>15.2</v>
      </c>
      <c r="E64" s="11">
        <v>50.700946999999999</v>
      </c>
      <c r="F64" s="11">
        <v>-2.7355390000000002</v>
      </c>
      <c r="G64" s="11">
        <v>50.651302000000001</v>
      </c>
      <c r="H64" s="11">
        <v>-2.563472</v>
      </c>
      <c r="I64" s="10"/>
    </row>
    <row r="65" spans="1:9" x14ac:dyDescent="0.2">
      <c r="A65" s="10">
        <v>63</v>
      </c>
      <c r="B65" s="10" t="s">
        <v>177</v>
      </c>
      <c r="C65" s="10" t="s">
        <v>178</v>
      </c>
      <c r="D65" s="10">
        <v>15</v>
      </c>
      <c r="E65" s="11">
        <v>50.651302000000001</v>
      </c>
      <c r="F65" s="11">
        <v>-2.563472</v>
      </c>
      <c r="G65" s="11">
        <v>50.580356000000002</v>
      </c>
      <c r="H65" s="11">
        <v>-2.4701409999999999</v>
      </c>
      <c r="I65" s="10"/>
    </row>
    <row r="66" spans="1:9" x14ac:dyDescent="0.2">
      <c r="A66" s="10">
        <v>64</v>
      </c>
      <c r="B66" s="10" t="s">
        <v>178</v>
      </c>
      <c r="C66" s="10" t="s">
        <v>179</v>
      </c>
      <c r="D66" s="10">
        <v>14.9</v>
      </c>
      <c r="E66" s="11">
        <v>50.580356000000002</v>
      </c>
      <c r="F66" s="11">
        <v>-2.4701409999999999</v>
      </c>
      <c r="G66" s="11">
        <v>50.551791000000001</v>
      </c>
      <c r="H66" s="11">
        <v>-2.4217580000000001</v>
      </c>
      <c r="I66" s="10"/>
    </row>
    <row r="67" spans="1:9" x14ac:dyDescent="0.2">
      <c r="A67" s="10">
        <v>65</v>
      </c>
      <c r="B67" s="10" t="s">
        <v>179</v>
      </c>
      <c r="C67" s="10" t="s">
        <v>180</v>
      </c>
      <c r="D67" s="10">
        <v>15</v>
      </c>
      <c r="E67" s="11">
        <v>50.551791000000001</v>
      </c>
      <c r="F67" s="11">
        <v>-2.4217580000000001</v>
      </c>
      <c r="G67" s="11">
        <v>50.636800999999998</v>
      </c>
      <c r="H67" s="11">
        <v>-2.4220619999999999</v>
      </c>
      <c r="I67" s="10"/>
    </row>
    <row r="68" spans="1:9" x14ac:dyDescent="0.2">
      <c r="A68" s="10">
        <v>66</v>
      </c>
      <c r="B68" s="10" t="s">
        <v>180</v>
      </c>
      <c r="C68" s="10" t="s">
        <v>181</v>
      </c>
      <c r="D68" s="10">
        <v>15.1</v>
      </c>
      <c r="E68" s="11">
        <v>50.636800999999998</v>
      </c>
      <c r="F68" s="11">
        <v>-2.4220619999999999</v>
      </c>
      <c r="G68" s="11">
        <v>50.620403000000003</v>
      </c>
      <c r="H68" s="11">
        <v>-2.2456800000000001</v>
      </c>
      <c r="I68" s="10"/>
    </row>
    <row r="69" spans="1:9" x14ac:dyDescent="0.2">
      <c r="A69" s="10">
        <v>67</v>
      </c>
      <c r="B69" s="10" t="s">
        <v>181</v>
      </c>
      <c r="C69" s="10" t="s">
        <v>182</v>
      </c>
      <c r="D69" s="10">
        <v>15</v>
      </c>
      <c r="E69" s="11">
        <v>50.620403000000003</v>
      </c>
      <c r="F69" s="11">
        <v>-2.2456800000000001</v>
      </c>
      <c r="G69" s="11">
        <v>50.597797</v>
      </c>
      <c r="H69" s="11">
        <v>-2.0908869999999999</v>
      </c>
      <c r="I69" s="10"/>
    </row>
    <row r="70" spans="1:9" x14ac:dyDescent="0.2">
      <c r="A70" s="10">
        <v>68</v>
      </c>
      <c r="B70" s="10" t="s">
        <v>182</v>
      </c>
      <c r="C70" s="10" t="s">
        <v>183</v>
      </c>
      <c r="D70" s="10">
        <v>15</v>
      </c>
      <c r="E70" s="11">
        <v>50.597797</v>
      </c>
      <c r="F70" s="11">
        <v>-2.0908869999999999</v>
      </c>
      <c r="G70" s="11">
        <v>50.595292000000001</v>
      </c>
      <c r="H70" s="11">
        <v>-1.9535130000000001</v>
      </c>
      <c r="I70" s="10"/>
    </row>
    <row r="71" spans="1:9" x14ac:dyDescent="0.2">
      <c r="A71" s="10">
        <v>69</v>
      </c>
      <c r="B71" s="10" t="s">
        <v>183</v>
      </c>
      <c r="C71" s="10" t="s">
        <v>184</v>
      </c>
      <c r="D71" s="10">
        <v>15</v>
      </c>
      <c r="E71" s="11">
        <v>50.595292000000001</v>
      </c>
      <c r="F71" s="11">
        <v>-1.9535130000000001</v>
      </c>
      <c r="G71" s="11">
        <v>50.679414000000001</v>
      </c>
      <c r="H71" s="11">
        <v>-1.950161</v>
      </c>
      <c r="I71" s="10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OfficialStages</vt:lpstr>
      <vt:lpstr>MyDays</vt:lpstr>
      <vt:lpstr>Summary</vt:lpstr>
      <vt:lpstr>SuggestedDays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Rodriguez, Mayra</cp:lastModifiedBy>
  <cp:revision>0</cp:revision>
  <dcterms:created xsi:type="dcterms:W3CDTF">2026-07-23T13:09:37Z</dcterms:created>
  <dcterms:modified xsi:type="dcterms:W3CDTF">2026-07-28T08:17:52Z</dcterms:modified>
  <dc:language>en-US</dc:language>
</cp:coreProperties>
</file>